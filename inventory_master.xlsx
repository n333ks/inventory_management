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nikosgeorge/Desktop/learning-log/"/>
    </mc:Choice>
  </mc:AlternateContent>
  <xr:revisionPtr revIDLastSave="0" documentId="13_ncr:1_{F0B19111-CDE2-8C4F-9EBF-D8C5174B6E57}" xr6:coauthVersionLast="47" xr6:coauthVersionMax="47" xr10:uidLastSave="{00000000-0000-0000-0000-000000000000}"/>
  <bookViews>
    <workbookView xWindow="0" yWindow="660" windowWidth="30240" windowHeight="17680" xr2:uid="{00000000-000D-0000-FFFF-FFFF00000000}"/>
  </bookViews>
  <sheets>
    <sheet name="Inventory Mas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1" l="1"/>
  <c r="G74" i="1"/>
  <c r="F74" i="1"/>
  <c r="H70" i="1"/>
  <c r="G70" i="1"/>
  <c r="F70" i="1"/>
  <c r="H64" i="1"/>
  <c r="G64" i="1"/>
  <c r="F64" i="1"/>
  <c r="H58" i="1"/>
  <c r="G58" i="1"/>
  <c r="F58" i="1"/>
  <c r="H54" i="1"/>
  <c r="G54" i="1"/>
  <c r="F54" i="1"/>
  <c r="J54" i="1" s="1"/>
  <c r="H45" i="1"/>
  <c r="G45" i="1"/>
  <c r="F45" i="1"/>
  <c r="H42" i="1"/>
  <c r="G42" i="1"/>
  <c r="F42" i="1"/>
  <c r="H38" i="1"/>
  <c r="G38" i="1"/>
  <c r="F38" i="1"/>
  <c r="J38" i="1" s="1"/>
  <c r="H31" i="1"/>
  <c r="G31" i="1"/>
  <c r="F31" i="1"/>
  <c r="H26" i="1"/>
  <c r="G26" i="1"/>
  <c r="F26" i="1"/>
  <c r="H20" i="1"/>
  <c r="G20" i="1"/>
  <c r="F20" i="1"/>
  <c r="H16" i="1"/>
  <c r="G16" i="1"/>
  <c r="F16" i="1"/>
  <c r="H8" i="1"/>
  <c r="G8" i="1"/>
  <c r="F8" i="1"/>
  <c r="H3" i="1"/>
  <c r="G3" i="1"/>
  <c r="F3" i="1"/>
  <c r="J8" i="1" l="1"/>
  <c r="J64" i="1"/>
  <c r="J31" i="1"/>
  <c r="J70" i="1"/>
  <c r="J74" i="1"/>
  <c r="J3" i="1"/>
  <c r="J58" i="1"/>
  <c r="J16" i="1"/>
  <c r="J42" i="1"/>
  <c r="J20" i="1"/>
  <c r="J45" i="1"/>
  <c r="J26" i="1"/>
</calcChain>
</file>

<file path=xl/sharedStrings.xml><?xml version="1.0" encoding="utf-8"?>
<sst xmlns="http://schemas.openxmlformats.org/spreadsheetml/2006/main" count="400" uniqueCount="88">
  <si>
    <t>Design Name</t>
  </si>
  <si>
    <t>Size</t>
  </si>
  <si>
    <t>Finish</t>
  </si>
  <si>
    <t>Swing</t>
  </si>
  <si>
    <t>Glass Type</t>
  </si>
  <si>
    <t>In-Stock QTY</t>
  </si>
  <si>
    <t>In-Production QTY</t>
  </si>
  <si>
    <t>Pre-Sale QTY</t>
  </si>
  <si>
    <t>Optimal Count</t>
  </si>
  <si>
    <t>Variance</t>
  </si>
  <si>
    <t>Serial Number</t>
  </si>
  <si>
    <t>Status</t>
  </si>
  <si>
    <t>Valencia</t>
  </si>
  <si>
    <t>32" x 80"</t>
  </si>
  <si>
    <t>Matte Black</t>
  </si>
  <si>
    <t>Left Inswing</t>
  </si>
  <si>
    <t>Clear</t>
  </si>
  <si>
    <t>24-0315-0001</t>
  </si>
  <si>
    <t>In Stock</t>
  </si>
  <si>
    <t>24-0315-0002</t>
  </si>
  <si>
    <t>24-0315-0003</t>
  </si>
  <si>
    <t>24-0315-0004</t>
  </si>
  <si>
    <t>36" x 80"</t>
  </si>
  <si>
    <t>Right Inswing</t>
  </si>
  <si>
    <t>24-0315-0005</t>
  </si>
  <si>
    <t>24-0315-0006</t>
  </si>
  <si>
    <t>24-0315-0007</t>
  </si>
  <si>
    <t>24-0315-0008</t>
  </si>
  <si>
    <t>24-0315-0009</t>
  </si>
  <si>
    <t>24-0315-0010</t>
  </si>
  <si>
    <t>24-0315-0011</t>
  </si>
  <si>
    <t>36" x 96"</t>
  </si>
  <si>
    <t>Oil-Rubbed Bronze</t>
  </si>
  <si>
    <t>Right Outswing</t>
  </si>
  <si>
    <t>Frosted</t>
  </si>
  <si>
    <t>24-0721-0012</t>
  </si>
  <si>
    <t>24-0721-0013</t>
  </si>
  <si>
    <t>Sevilla</t>
  </si>
  <si>
    <t>Brushed Nickel</t>
  </si>
  <si>
    <t>Rain</t>
  </si>
  <si>
    <t>24-1102-0014</t>
  </si>
  <si>
    <t>24-1102-0015</t>
  </si>
  <si>
    <t>24-1102-0016</t>
  </si>
  <si>
    <t>24-1102-0017</t>
  </si>
  <si>
    <t>24-1102-0018</t>
  </si>
  <si>
    <t>Satin White</t>
  </si>
  <si>
    <t>None</t>
  </si>
  <si>
    <t>24-1102-0019</t>
  </si>
  <si>
    <t>24-1102-0020</t>
  </si>
  <si>
    <t>24-1102-0021</t>
  </si>
  <si>
    <t>Cordova</t>
  </si>
  <si>
    <t>25-0210-0001</t>
  </si>
  <si>
    <t>25-0210-0002</t>
  </si>
  <si>
    <t>25-0210-0003</t>
  </si>
  <si>
    <t>25-0210-0004</t>
  </si>
  <si>
    <t>25-0210-0005</t>
  </si>
  <si>
    <t>25-0210-0006</t>
  </si>
  <si>
    <t>25-0518-0007</t>
  </si>
  <si>
    <t>25-0518-0008</t>
  </si>
  <si>
    <t>25-0518-0009</t>
  </si>
  <si>
    <t>25-0518-0010</t>
  </si>
  <si>
    <t>Granada</t>
  </si>
  <si>
    <t>25-0927-0011</t>
  </si>
  <si>
    <t>25-0927-0012</t>
  </si>
  <si>
    <t>25-0927-0013</t>
  </si>
  <si>
    <t>25-0927-0014</t>
  </si>
  <si>
    <t>25-0927-0015</t>
  </si>
  <si>
    <t>25-0927-0016</t>
  </si>
  <si>
    <t>25-0927-0017</t>
  </si>
  <si>
    <t>25-0927-0018</t>
  </si>
  <si>
    <t>Sidelite</t>
  </si>
  <si>
    <t>25-0927-0019</t>
  </si>
  <si>
    <t>25-0927-0020</t>
  </si>
  <si>
    <t>Malaga</t>
  </si>
  <si>
    <t>25-1205-0021</t>
  </si>
  <si>
    <t>25-1205-0022</t>
  </si>
  <si>
    <t>25-1205-0023</t>
  </si>
  <si>
    <t>25-1205-0024</t>
  </si>
  <si>
    <t>Altea</t>
  </si>
  <si>
    <t>26-0103-0001</t>
  </si>
  <si>
    <t>26-0103-0002</t>
  </si>
  <si>
    <t>26-0103-0003</t>
  </si>
  <si>
    <t>26-0103-0004</t>
  </si>
  <si>
    <t>26-0103-0005</t>
  </si>
  <si>
    <t>26-0103-0006</t>
  </si>
  <si>
    <t>26-0103-0007</t>
  </si>
  <si>
    <t>26-0103-0008</t>
  </si>
  <si>
    <t>26-0415-0009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</si>
</sst>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color rgb="FF000000"/>
      <name val="Arial"/>
    </font>
    <font>
      <sz val="10"/>
      <color rgb="FFFFFFFF"/>
      <name val="Arial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404040"/>
      </left>
      <right style="thin">
        <color rgb="FFBFBFBF"/>
      </right>
      <top style="medium">
        <color rgb="FF404040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404040"/>
      </top>
      <bottom style="thin">
        <color rgb="FFBFBFBF"/>
      </bottom>
      <diagonal/>
    </border>
    <border>
      <left style="thin">
        <color rgb="FFBFBFBF"/>
      </left>
      <right style="medium">
        <color rgb="FF404040"/>
      </right>
      <top style="medium">
        <color rgb="FF404040"/>
      </top>
      <bottom style="thin">
        <color rgb="FFBFBFBF"/>
      </bottom>
      <diagonal/>
    </border>
    <border>
      <left style="medium">
        <color rgb="FF40404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404040"/>
      </right>
      <top style="thin">
        <color rgb="FFBFBFBF"/>
      </top>
      <bottom style="thin">
        <color rgb="FFBFBFBF"/>
      </bottom>
      <diagonal/>
    </border>
    <border>
      <left style="medium">
        <color rgb="FF404040"/>
      </left>
      <right style="thin">
        <color rgb="FFBFBFBF"/>
      </right>
      <top style="thin">
        <color rgb="FFBFBFBF"/>
      </top>
      <bottom style="medium">
        <color rgb="FF40404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404040"/>
      </bottom>
      <diagonal/>
    </border>
    <border>
      <left style="thin">
        <color rgb="FFBFBFBF"/>
      </left>
      <right style="medium">
        <color rgb="FF404040"/>
      </right>
      <top style="thin">
        <color rgb="FFBFBFBF"/>
      </top>
      <bottom style="medium">
        <color rgb="FF40404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/>
    <xf numFmtId="0" fontId="2" fillId="0" borderId="1" xfId="0" applyFont="1" applyBorder="1"/>
    <xf numFmtId="0" fontId="3" fillId="0" borderId="5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2" fillId="3" borderId="4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/>
  </cellXfs>
  <cellStyles count="1">
    <cellStyle name="Normal" xfId="0" builtinId="0"/>
  </cellStyles>
  <dxfs count="5">
    <dxf>
      <font>
        <sz val="10"/>
        <color rgb="FF000000"/>
        <name val="Arial"/>
      </font>
      <fill>
        <patternFill patternType="solid">
          <fgColor rgb="FFBDD7EE"/>
        </patternFill>
      </fill>
    </dxf>
    <dxf>
      <font>
        <sz val="10"/>
        <color rgb="FF000000"/>
        <name val="Arial"/>
      </font>
      <fill>
        <patternFill patternType="solid">
          <fgColor rgb="FFFFC7CE"/>
        </patternFill>
      </fill>
    </dxf>
    <dxf>
      <font>
        <sz val="10"/>
        <color rgb="FF000000"/>
        <name val="Arial"/>
      </font>
      <fill>
        <patternFill patternType="solid">
          <fgColor rgb="FFFFEB9C"/>
        </patternFill>
      </fill>
    </dxf>
    <dxf>
      <font>
        <sz val="10"/>
        <color rgb="FF000000"/>
        <name val="Arial"/>
      </font>
      <fill>
        <patternFill patternType="solid">
          <fgColor rgb="FFC6EFCE"/>
        </patternFill>
      </fill>
    </dxf>
    <dxf>
      <font>
        <sz val="10"/>
        <color rgb="FFC00000"/>
        <name val="Arial"/>
      </font>
      <fill>
        <patternFill patternType="solid">
          <fgColor rgb="FFFF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7"/>
  <sheetViews>
    <sheetView tabSelected="1" workbookViewId="0">
      <pane xSplit="1" ySplit="1" topLeftCell="B52" activePane="bottomRight" state="frozen"/>
      <selection pane="topRight"/>
      <selection pane="bottomLeft"/>
      <selection pane="bottomRight" activeCell="J82" sqref="J82"/>
    </sheetView>
  </sheetViews>
  <sheetFormatPr baseColWidth="10" defaultColWidth="8.83203125" defaultRowHeight="15" x14ac:dyDescent="0.2"/>
  <cols>
    <col min="1" max="1" width="16" customWidth="1"/>
    <col min="2" max="2" width="12" customWidth="1"/>
    <col min="3" max="3" width="21" customWidth="1"/>
    <col min="4" max="4" width="16" customWidth="1"/>
    <col min="5" max="5" width="13" customWidth="1"/>
    <col min="6" max="6" width="14" customWidth="1"/>
    <col min="7" max="7" width="20" customWidth="1"/>
    <col min="8" max="8" width="13" customWidth="1"/>
    <col min="9" max="9" width="14" customWidth="1"/>
    <col min="10" max="10" width="11" customWidth="1"/>
    <col min="11" max="11" width="18" customWidth="1"/>
    <col min="12" max="12" width="16" customWidth="1"/>
  </cols>
  <sheetData>
    <row r="1" spans="1:12" ht="2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6" customHeight="1" x14ac:dyDescent="0.2"/>
    <row r="3" spans="1:12" ht="16" customHeight="1" x14ac:dyDescent="0.2">
      <c r="A3" s="2" t="s">
        <v>12</v>
      </c>
      <c r="B3" s="3" t="s">
        <v>13</v>
      </c>
      <c r="C3" s="3" t="s">
        <v>14</v>
      </c>
      <c r="D3" s="3" t="s">
        <v>15</v>
      </c>
      <c r="E3" s="3" t="s">
        <v>16</v>
      </c>
      <c r="F3" s="4">
        <f>COUNTIFS($A:$A,A3,$B:$B,B3,$C:$C,C3,$D:$D,D3,$E:$E,E3,$L:$L,"In Stock")</f>
        <v>4</v>
      </c>
      <c r="G3" s="4">
        <f>COUNTIFS($A:$A,A3,$B:$B,B3,$C:$C,C3,$D:$D,D3,$E:$E,E3,$L:$L,"In Production")</f>
        <v>0</v>
      </c>
      <c r="H3" s="4">
        <f>COUNTIFS($A:$A,A3,$B:$B,B3,$C:$C,C3,$D:$D,D3,$E:$E,E3,$L:$L,"Pre-Sale")</f>
        <v>0</v>
      </c>
      <c r="I3" s="4">
        <v>6</v>
      </c>
      <c r="J3" s="4">
        <f>F3+G3+H3-I3</f>
        <v>-2</v>
      </c>
      <c r="K3" s="4" t="s">
        <v>17</v>
      </c>
      <c r="L3" s="17" t="s">
        <v>18</v>
      </c>
    </row>
    <row r="4" spans="1:12" ht="16" customHeight="1" x14ac:dyDescent="0.2">
      <c r="A4" s="13" t="s">
        <v>12</v>
      </c>
      <c r="B4" s="14" t="s">
        <v>13</v>
      </c>
      <c r="C4" s="14" t="s">
        <v>14</v>
      </c>
      <c r="D4" s="14" t="s">
        <v>15</v>
      </c>
      <c r="E4" s="14" t="s">
        <v>16</v>
      </c>
      <c r="F4" s="7"/>
      <c r="G4" s="7"/>
      <c r="H4" s="7"/>
      <c r="I4" s="7"/>
      <c r="J4" s="7"/>
      <c r="K4" s="7" t="s">
        <v>19</v>
      </c>
      <c r="L4" s="18" t="s">
        <v>18</v>
      </c>
    </row>
    <row r="5" spans="1:12" ht="16" customHeight="1" x14ac:dyDescent="0.2">
      <c r="A5" s="13" t="s">
        <v>12</v>
      </c>
      <c r="B5" s="14" t="s">
        <v>13</v>
      </c>
      <c r="C5" s="14" t="s">
        <v>14</v>
      </c>
      <c r="D5" s="14" t="s">
        <v>15</v>
      </c>
      <c r="E5" s="14" t="s">
        <v>16</v>
      </c>
      <c r="F5" s="7"/>
      <c r="G5" s="7"/>
      <c r="H5" s="7"/>
      <c r="I5" s="7"/>
      <c r="J5" s="7"/>
      <c r="K5" s="7" t="s">
        <v>20</v>
      </c>
      <c r="L5" s="18" t="s">
        <v>18</v>
      </c>
    </row>
    <row r="6" spans="1:12" ht="16" customHeight="1" x14ac:dyDescent="0.2">
      <c r="A6" s="13" t="s">
        <v>12</v>
      </c>
      <c r="B6" s="14" t="s">
        <v>13</v>
      </c>
      <c r="C6" s="14" t="s">
        <v>14</v>
      </c>
      <c r="D6" s="14" t="s">
        <v>15</v>
      </c>
      <c r="E6" s="14" t="s">
        <v>16</v>
      </c>
      <c r="F6" s="7"/>
      <c r="G6" s="7"/>
      <c r="H6" s="7"/>
      <c r="I6" s="7"/>
      <c r="J6" s="7"/>
      <c r="K6" s="7" t="s">
        <v>21</v>
      </c>
      <c r="L6" s="18" t="s">
        <v>18</v>
      </c>
    </row>
    <row r="7" spans="1:12" ht="16" customHeight="1" x14ac:dyDescent="0.2">
      <c r="A7" s="11"/>
      <c r="B7" s="12"/>
      <c r="C7" s="12"/>
      <c r="D7" s="12"/>
      <c r="E7" s="12"/>
      <c r="F7" s="12"/>
      <c r="G7" s="12"/>
      <c r="H7" s="12"/>
      <c r="I7" s="12"/>
      <c r="J7" s="12"/>
      <c r="K7" s="12"/>
      <c r="L7" s="19"/>
    </row>
    <row r="8" spans="1:12" ht="16" customHeight="1" x14ac:dyDescent="0.2">
      <c r="A8" s="5" t="s">
        <v>12</v>
      </c>
      <c r="B8" s="6" t="s">
        <v>22</v>
      </c>
      <c r="C8" s="6" t="s">
        <v>14</v>
      </c>
      <c r="D8" s="6" t="s">
        <v>23</v>
      </c>
      <c r="E8" s="6" t="s">
        <v>16</v>
      </c>
      <c r="F8" s="7">
        <f>COUNTIFS($A:$A,A8,$B:$B,B8,$C:$C,C8,$D:$D,D8,$E:$E,E8,$L:$L,"In Stock")</f>
        <v>7</v>
      </c>
      <c r="G8" s="7">
        <f>COUNTIFS($A:$A,A8,$B:$B,B8,$C:$C,C8,$D:$D,D8,$E:$E,E8,$L:$L,"In Production")</f>
        <v>0</v>
      </c>
      <c r="H8" s="7">
        <f>COUNTIFS($A:$A,A8,$B:$B,B8,$C:$C,C8,$D:$D,D8,$E:$E,E8,$L:$L,"Pre-Sale")</f>
        <v>0</v>
      </c>
      <c r="I8" s="7">
        <v>8</v>
      </c>
      <c r="J8" s="7">
        <f>F8+G8+H8-I8</f>
        <v>-1</v>
      </c>
      <c r="K8" s="7" t="s">
        <v>24</v>
      </c>
      <c r="L8" s="18" t="s">
        <v>18</v>
      </c>
    </row>
    <row r="9" spans="1:12" ht="16" customHeight="1" x14ac:dyDescent="0.2">
      <c r="A9" s="13" t="s">
        <v>12</v>
      </c>
      <c r="B9" s="14" t="s">
        <v>22</v>
      </c>
      <c r="C9" s="14" t="s">
        <v>14</v>
      </c>
      <c r="D9" s="14" t="s">
        <v>23</v>
      </c>
      <c r="E9" s="14" t="s">
        <v>16</v>
      </c>
      <c r="F9" s="7"/>
      <c r="G9" s="7"/>
      <c r="H9" s="7"/>
      <c r="I9" s="7"/>
      <c r="J9" s="7"/>
      <c r="K9" s="7" t="s">
        <v>25</v>
      </c>
      <c r="L9" s="18" t="s">
        <v>18</v>
      </c>
    </row>
    <row r="10" spans="1:12" ht="16" customHeight="1" x14ac:dyDescent="0.2">
      <c r="A10" s="13" t="s">
        <v>12</v>
      </c>
      <c r="B10" s="14" t="s">
        <v>22</v>
      </c>
      <c r="C10" s="14" t="s">
        <v>14</v>
      </c>
      <c r="D10" s="14" t="s">
        <v>23</v>
      </c>
      <c r="E10" s="14" t="s">
        <v>16</v>
      </c>
      <c r="F10" s="7"/>
      <c r="G10" s="7"/>
      <c r="H10" s="7"/>
      <c r="I10" s="7"/>
      <c r="J10" s="7"/>
      <c r="K10" s="7" t="s">
        <v>26</v>
      </c>
      <c r="L10" s="18" t="s">
        <v>18</v>
      </c>
    </row>
    <row r="11" spans="1:12" ht="16" customHeight="1" x14ac:dyDescent="0.2">
      <c r="A11" s="13" t="s">
        <v>12</v>
      </c>
      <c r="B11" s="14" t="s">
        <v>22</v>
      </c>
      <c r="C11" s="14" t="s">
        <v>14</v>
      </c>
      <c r="D11" s="14" t="s">
        <v>23</v>
      </c>
      <c r="E11" s="14" t="s">
        <v>16</v>
      </c>
      <c r="F11" s="7"/>
      <c r="G11" s="7"/>
      <c r="H11" s="7"/>
      <c r="I11" s="7"/>
      <c r="J11" s="7"/>
      <c r="K11" s="7" t="s">
        <v>27</v>
      </c>
      <c r="L11" s="18" t="s">
        <v>18</v>
      </c>
    </row>
    <row r="12" spans="1:12" ht="16" customHeight="1" x14ac:dyDescent="0.2">
      <c r="A12" s="13" t="s">
        <v>12</v>
      </c>
      <c r="B12" s="14" t="s">
        <v>22</v>
      </c>
      <c r="C12" s="14" t="s">
        <v>14</v>
      </c>
      <c r="D12" s="14" t="s">
        <v>23</v>
      </c>
      <c r="E12" s="14" t="s">
        <v>16</v>
      </c>
      <c r="F12" s="7"/>
      <c r="G12" s="7"/>
      <c r="H12" s="7"/>
      <c r="I12" s="7"/>
      <c r="J12" s="7"/>
      <c r="K12" s="7" t="s">
        <v>28</v>
      </c>
      <c r="L12" s="18" t="s">
        <v>18</v>
      </c>
    </row>
    <row r="13" spans="1:12" ht="16" customHeight="1" x14ac:dyDescent="0.2">
      <c r="A13" s="13" t="s">
        <v>12</v>
      </c>
      <c r="B13" s="14" t="s">
        <v>22</v>
      </c>
      <c r="C13" s="14" t="s">
        <v>14</v>
      </c>
      <c r="D13" s="14" t="s">
        <v>23</v>
      </c>
      <c r="E13" s="14" t="s">
        <v>16</v>
      </c>
      <c r="F13" s="7"/>
      <c r="G13" s="7"/>
      <c r="H13" s="7"/>
      <c r="I13" s="7"/>
      <c r="J13" s="7"/>
      <c r="K13" s="7" t="s">
        <v>29</v>
      </c>
      <c r="L13" s="18" t="s">
        <v>18</v>
      </c>
    </row>
    <row r="14" spans="1:12" ht="16" customHeight="1" x14ac:dyDescent="0.2">
      <c r="A14" s="13" t="s">
        <v>12</v>
      </c>
      <c r="B14" s="14" t="s">
        <v>22</v>
      </c>
      <c r="C14" s="14" t="s">
        <v>14</v>
      </c>
      <c r="D14" s="14" t="s">
        <v>23</v>
      </c>
      <c r="E14" s="14" t="s">
        <v>16</v>
      </c>
      <c r="F14" s="7"/>
      <c r="G14" s="7"/>
      <c r="H14" s="7"/>
      <c r="I14" s="7"/>
      <c r="J14" s="7"/>
      <c r="K14" s="7" t="s">
        <v>30</v>
      </c>
      <c r="L14" s="18" t="s">
        <v>18</v>
      </c>
    </row>
    <row r="15" spans="1:12" ht="16" customHeight="1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9"/>
    </row>
    <row r="16" spans="1:12" ht="16" customHeight="1" x14ac:dyDescent="0.2">
      <c r="A16" s="5" t="s">
        <v>12</v>
      </c>
      <c r="B16" s="6" t="s">
        <v>31</v>
      </c>
      <c r="C16" s="6" t="s">
        <v>32</v>
      </c>
      <c r="D16" s="6" t="s">
        <v>33</v>
      </c>
      <c r="E16" s="6" t="s">
        <v>34</v>
      </c>
      <c r="F16" s="7">
        <f>COUNTIFS($A:$A,A16,$B:$B,B16,$C:$C,C16,$D:$D,D16,$E:$E,E16,$L:$L,"In Stock")</f>
        <v>2</v>
      </c>
      <c r="G16" s="7">
        <f>COUNTIFS($A:$A,A16,$B:$B,B16,$C:$C,C16,$D:$D,D16,$E:$E,E16,$L:$L,"In Production")</f>
        <v>0</v>
      </c>
      <c r="H16" s="7">
        <f>COUNTIFS($A:$A,A16,$B:$B,B16,$C:$C,C16,$D:$D,D16,$E:$E,E16,$L:$L,"Pre-Sale")</f>
        <v>0</v>
      </c>
      <c r="I16" s="7">
        <v>6</v>
      </c>
      <c r="J16" s="7">
        <f>F16+G16+H16-I16</f>
        <v>-4</v>
      </c>
      <c r="K16" s="7" t="s">
        <v>35</v>
      </c>
      <c r="L16" s="18" t="s">
        <v>18</v>
      </c>
    </row>
    <row r="17" spans="1:12" ht="16" customHeight="1" x14ac:dyDescent="0.2">
      <c r="A17" s="15" t="s">
        <v>12</v>
      </c>
      <c r="B17" s="16" t="s">
        <v>31</v>
      </c>
      <c r="C17" s="16" t="s">
        <v>32</v>
      </c>
      <c r="D17" s="16" t="s">
        <v>33</v>
      </c>
      <c r="E17" s="16" t="s">
        <v>34</v>
      </c>
      <c r="F17" s="10"/>
      <c r="G17" s="10"/>
      <c r="H17" s="10"/>
      <c r="I17" s="10"/>
      <c r="J17" s="10"/>
      <c r="K17" s="10" t="s">
        <v>36</v>
      </c>
      <c r="L17" s="20" t="s">
        <v>18</v>
      </c>
    </row>
    <row r="18" spans="1:12" ht="16" customHeight="1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21"/>
    </row>
    <row r="19" spans="1:12" ht="16" customHeight="1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21"/>
    </row>
    <row r="20" spans="1:12" ht="16" customHeight="1" x14ac:dyDescent="0.2">
      <c r="A20" s="2" t="s">
        <v>37</v>
      </c>
      <c r="B20" s="3" t="s">
        <v>13</v>
      </c>
      <c r="C20" s="3" t="s">
        <v>38</v>
      </c>
      <c r="D20" s="3" t="s">
        <v>23</v>
      </c>
      <c r="E20" s="3" t="s">
        <v>39</v>
      </c>
      <c r="F20" s="4">
        <f>COUNTIFS($A:$A,A20,$B:$B,B20,$C:$C,C20,$D:$D,D20,$E:$E,E20,$L:$L,"In Stock")</f>
        <v>5</v>
      </c>
      <c r="G20" s="4">
        <f>COUNTIFS($A:$A,A20,$B:$B,B20,$C:$C,C20,$D:$D,D20,$E:$E,E20,$L:$L,"In Production")</f>
        <v>0</v>
      </c>
      <c r="H20" s="4">
        <f>COUNTIFS($A:$A,A20,$B:$B,B20,$C:$C,C20,$D:$D,D20,$E:$E,E20,$L:$L,"Pre-Sale")</f>
        <v>0</v>
      </c>
      <c r="I20" s="4">
        <v>7</v>
      </c>
      <c r="J20" s="4">
        <f>F20+G20+H20-I20</f>
        <v>-2</v>
      </c>
      <c r="K20" s="4" t="s">
        <v>40</v>
      </c>
      <c r="L20" s="17" t="s">
        <v>18</v>
      </c>
    </row>
    <row r="21" spans="1:12" ht="16" customHeight="1" x14ac:dyDescent="0.2">
      <c r="A21" s="13" t="s">
        <v>37</v>
      </c>
      <c r="B21" s="14" t="s">
        <v>13</v>
      </c>
      <c r="C21" s="14" t="s">
        <v>38</v>
      </c>
      <c r="D21" s="14" t="s">
        <v>23</v>
      </c>
      <c r="E21" s="14" t="s">
        <v>39</v>
      </c>
      <c r="F21" s="7"/>
      <c r="G21" s="7"/>
      <c r="H21" s="7"/>
      <c r="I21" s="7"/>
      <c r="J21" s="7"/>
      <c r="K21" s="7" t="s">
        <v>41</v>
      </c>
      <c r="L21" s="18" t="s">
        <v>18</v>
      </c>
    </row>
    <row r="22" spans="1:12" ht="16" customHeight="1" x14ac:dyDescent="0.2">
      <c r="A22" s="13" t="s">
        <v>37</v>
      </c>
      <c r="B22" s="14" t="s">
        <v>13</v>
      </c>
      <c r="C22" s="14" t="s">
        <v>38</v>
      </c>
      <c r="D22" s="14" t="s">
        <v>23</v>
      </c>
      <c r="E22" s="14" t="s">
        <v>39</v>
      </c>
      <c r="F22" s="7"/>
      <c r="G22" s="7"/>
      <c r="H22" s="7"/>
      <c r="I22" s="7"/>
      <c r="J22" s="7"/>
      <c r="K22" s="7" t="s">
        <v>42</v>
      </c>
      <c r="L22" s="18" t="s">
        <v>18</v>
      </c>
    </row>
    <row r="23" spans="1:12" ht="16" customHeight="1" x14ac:dyDescent="0.2">
      <c r="A23" s="13" t="s">
        <v>37</v>
      </c>
      <c r="B23" s="14" t="s">
        <v>13</v>
      </c>
      <c r="C23" s="14" t="s">
        <v>38</v>
      </c>
      <c r="D23" s="14" t="s">
        <v>23</v>
      </c>
      <c r="E23" s="14" t="s">
        <v>39</v>
      </c>
      <c r="F23" s="7"/>
      <c r="G23" s="7"/>
      <c r="H23" s="7"/>
      <c r="I23" s="7"/>
      <c r="J23" s="7"/>
      <c r="K23" s="7" t="s">
        <v>43</v>
      </c>
      <c r="L23" s="18" t="s">
        <v>18</v>
      </c>
    </row>
    <row r="24" spans="1:12" ht="16" customHeight="1" x14ac:dyDescent="0.2">
      <c r="A24" s="13" t="s">
        <v>37</v>
      </c>
      <c r="B24" s="14" t="s">
        <v>13</v>
      </c>
      <c r="C24" s="14" t="s">
        <v>38</v>
      </c>
      <c r="D24" s="14" t="s">
        <v>23</v>
      </c>
      <c r="E24" s="14" t="s">
        <v>39</v>
      </c>
      <c r="F24" s="7"/>
      <c r="G24" s="7"/>
      <c r="H24" s="7"/>
      <c r="I24" s="7"/>
      <c r="J24" s="7"/>
      <c r="K24" s="7" t="s">
        <v>44</v>
      </c>
      <c r="L24" s="18" t="s">
        <v>18</v>
      </c>
    </row>
    <row r="25" spans="1:12" ht="16" customHeight="1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9"/>
    </row>
    <row r="26" spans="1:12" ht="16" customHeight="1" x14ac:dyDescent="0.2">
      <c r="A26" s="5" t="s">
        <v>37</v>
      </c>
      <c r="B26" s="6" t="s">
        <v>22</v>
      </c>
      <c r="C26" s="6" t="s">
        <v>45</v>
      </c>
      <c r="D26" s="6" t="s">
        <v>15</v>
      </c>
      <c r="E26" s="6" t="s">
        <v>46</v>
      </c>
      <c r="F26" s="7">
        <f>COUNTIFS($A:$A,A26,$B:$B,B26,$C:$C,C26,$D:$D,D26,$E:$E,E26,$L:$L,"In Stock")</f>
        <v>3</v>
      </c>
      <c r="G26" s="7">
        <f>COUNTIFS($A:$A,A26,$B:$B,B26,$C:$C,C26,$D:$D,D26,$E:$E,E26,$L:$L,"In Production")</f>
        <v>0</v>
      </c>
      <c r="H26" s="7">
        <f>COUNTIFS($A:$A,A26,$B:$B,B26,$C:$C,C26,$D:$D,D26,$E:$E,E26,$L:$L,"Pre-Sale")</f>
        <v>0</v>
      </c>
      <c r="I26" s="7">
        <v>8</v>
      </c>
      <c r="J26" s="7">
        <f>F26+G26+H26-I26</f>
        <v>-5</v>
      </c>
      <c r="K26" s="7" t="s">
        <v>47</v>
      </c>
      <c r="L26" s="18" t="s">
        <v>18</v>
      </c>
    </row>
    <row r="27" spans="1:12" ht="16" customHeight="1" x14ac:dyDescent="0.2">
      <c r="A27" s="13" t="s">
        <v>37</v>
      </c>
      <c r="B27" s="14" t="s">
        <v>22</v>
      </c>
      <c r="C27" s="14" t="s">
        <v>45</v>
      </c>
      <c r="D27" s="14" t="s">
        <v>15</v>
      </c>
      <c r="E27" s="14" t="s">
        <v>46</v>
      </c>
      <c r="F27" s="7"/>
      <c r="G27" s="7"/>
      <c r="H27" s="7"/>
      <c r="I27" s="7"/>
      <c r="J27" s="7"/>
      <c r="K27" s="7" t="s">
        <v>48</v>
      </c>
      <c r="L27" s="18" t="s">
        <v>18</v>
      </c>
    </row>
    <row r="28" spans="1:12" ht="16" customHeight="1" x14ac:dyDescent="0.2">
      <c r="A28" s="15" t="s">
        <v>37</v>
      </c>
      <c r="B28" s="16" t="s">
        <v>22</v>
      </c>
      <c r="C28" s="16" t="s">
        <v>45</v>
      </c>
      <c r="D28" s="16" t="s">
        <v>15</v>
      </c>
      <c r="E28" s="16" t="s">
        <v>46</v>
      </c>
      <c r="F28" s="10"/>
      <c r="G28" s="10"/>
      <c r="H28" s="10"/>
      <c r="I28" s="10"/>
      <c r="J28" s="10"/>
      <c r="K28" s="10" t="s">
        <v>49</v>
      </c>
      <c r="L28" s="20" t="s">
        <v>18</v>
      </c>
    </row>
    <row r="29" spans="1:12" ht="16" customHeight="1" x14ac:dyDescent="0.2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21"/>
    </row>
    <row r="30" spans="1:12" ht="16" customHeight="1" x14ac:dyDescent="0.2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21"/>
    </row>
    <row r="31" spans="1:12" ht="16" customHeight="1" x14ac:dyDescent="0.2">
      <c r="A31" s="2" t="s">
        <v>50</v>
      </c>
      <c r="B31" s="3" t="s">
        <v>13</v>
      </c>
      <c r="C31" s="3" t="s">
        <v>14</v>
      </c>
      <c r="D31" s="3" t="s">
        <v>23</v>
      </c>
      <c r="E31" s="3" t="s">
        <v>34</v>
      </c>
      <c r="F31" s="4">
        <f>COUNTIFS($A:$A,A31,$B:$B,B31,$C:$C,C31,$D:$D,D31,$E:$E,E31,$L:$L,"In Stock")</f>
        <v>6</v>
      </c>
      <c r="G31" s="4">
        <f>COUNTIFS($A:$A,A31,$B:$B,B31,$C:$C,C31,$D:$D,D31,$E:$E,E31,$L:$L,"In Production")</f>
        <v>0</v>
      </c>
      <c r="H31" s="4">
        <f>COUNTIFS($A:$A,A31,$B:$B,B31,$C:$C,C31,$D:$D,D31,$E:$E,E31,$L:$L,"Pre-Sale")</f>
        <v>0</v>
      </c>
      <c r="I31" s="4">
        <v>7</v>
      </c>
      <c r="J31" s="4">
        <f>F31+G31+H31-I31</f>
        <v>-1</v>
      </c>
      <c r="K31" s="4" t="s">
        <v>51</v>
      </c>
      <c r="L31" s="17" t="s">
        <v>18</v>
      </c>
    </row>
    <row r="32" spans="1:12" ht="16" customHeight="1" x14ac:dyDescent="0.2">
      <c r="A32" s="13" t="s">
        <v>50</v>
      </c>
      <c r="B32" s="14" t="s">
        <v>13</v>
      </c>
      <c r="C32" s="14" t="s">
        <v>14</v>
      </c>
      <c r="D32" s="14" t="s">
        <v>23</v>
      </c>
      <c r="E32" s="14" t="s">
        <v>34</v>
      </c>
      <c r="F32" s="7"/>
      <c r="G32" s="7"/>
      <c r="H32" s="7"/>
      <c r="I32" s="7"/>
      <c r="J32" s="7"/>
      <c r="K32" s="7" t="s">
        <v>52</v>
      </c>
      <c r="L32" s="18" t="s">
        <v>18</v>
      </c>
    </row>
    <row r="33" spans="1:12" ht="16" customHeight="1" x14ac:dyDescent="0.2">
      <c r="A33" s="13" t="s">
        <v>50</v>
      </c>
      <c r="B33" s="14" t="s">
        <v>13</v>
      </c>
      <c r="C33" s="14" t="s">
        <v>14</v>
      </c>
      <c r="D33" s="14" t="s">
        <v>23</v>
      </c>
      <c r="E33" s="14" t="s">
        <v>34</v>
      </c>
      <c r="F33" s="7"/>
      <c r="G33" s="7"/>
      <c r="H33" s="7"/>
      <c r="I33" s="7"/>
      <c r="J33" s="7"/>
      <c r="K33" s="7" t="s">
        <v>53</v>
      </c>
      <c r="L33" s="18" t="s">
        <v>18</v>
      </c>
    </row>
    <row r="34" spans="1:12" ht="16" customHeight="1" x14ac:dyDescent="0.2">
      <c r="A34" s="13" t="s">
        <v>50</v>
      </c>
      <c r="B34" s="14" t="s">
        <v>13</v>
      </c>
      <c r="C34" s="14" t="s">
        <v>14</v>
      </c>
      <c r="D34" s="14" t="s">
        <v>23</v>
      </c>
      <c r="E34" s="14" t="s">
        <v>34</v>
      </c>
      <c r="F34" s="7"/>
      <c r="G34" s="7"/>
      <c r="H34" s="7"/>
      <c r="I34" s="7"/>
      <c r="J34" s="7"/>
      <c r="K34" s="7" t="s">
        <v>54</v>
      </c>
      <c r="L34" s="18" t="s">
        <v>18</v>
      </c>
    </row>
    <row r="35" spans="1:12" ht="16" customHeight="1" x14ac:dyDescent="0.2">
      <c r="A35" s="13" t="s">
        <v>50</v>
      </c>
      <c r="B35" s="14" t="s">
        <v>13</v>
      </c>
      <c r="C35" s="14" t="s">
        <v>14</v>
      </c>
      <c r="D35" s="14" t="s">
        <v>23</v>
      </c>
      <c r="E35" s="14" t="s">
        <v>34</v>
      </c>
      <c r="F35" s="7"/>
      <c r="G35" s="7"/>
      <c r="H35" s="7"/>
      <c r="I35" s="7"/>
      <c r="J35" s="7"/>
      <c r="K35" s="7" t="s">
        <v>55</v>
      </c>
      <c r="L35" s="18" t="s">
        <v>18</v>
      </c>
    </row>
    <row r="36" spans="1:12" ht="16" customHeight="1" x14ac:dyDescent="0.2">
      <c r="A36" s="13" t="s">
        <v>50</v>
      </c>
      <c r="B36" s="14" t="s">
        <v>13</v>
      </c>
      <c r="C36" s="14" t="s">
        <v>14</v>
      </c>
      <c r="D36" s="14" t="s">
        <v>23</v>
      </c>
      <c r="E36" s="14" t="s">
        <v>34</v>
      </c>
      <c r="F36" s="7"/>
      <c r="G36" s="7"/>
      <c r="H36" s="7"/>
      <c r="I36" s="7"/>
      <c r="J36" s="7"/>
      <c r="K36" s="7" t="s">
        <v>56</v>
      </c>
      <c r="L36" s="18" t="s">
        <v>18</v>
      </c>
    </row>
    <row r="37" spans="1:12" ht="16" customHeight="1" x14ac:dyDescent="0.2">
      <c r="A37" s="11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9"/>
    </row>
    <row r="38" spans="1:12" ht="16" customHeight="1" x14ac:dyDescent="0.2">
      <c r="A38" s="5" t="s">
        <v>50</v>
      </c>
      <c r="B38" s="6" t="s">
        <v>22</v>
      </c>
      <c r="C38" s="6" t="s">
        <v>32</v>
      </c>
      <c r="D38" s="6" t="s">
        <v>15</v>
      </c>
      <c r="E38" s="6" t="s">
        <v>16</v>
      </c>
      <c r="F38" s="7">
        <f>COUNTIFS($A:$A,A38,$B:$B,B38,$C:$C,C38,$D:$D,D38,$E:$E,E38,$L:$L,"In Stock")</f>
        <v>3</v>
      </c>
      <c r="G38" s="7">
        <f>COUNTIFS($A:$A,A38,$B:$B,B38,$C:$C,C38,$D:$D,D38,$E:$E,E38,$L:$L,"In Production")</f>
        <v>0</v>
      </c>
      <c r="H38" s="7">
        <f>COUNTIFS($A:$A,A38,$B:$B,B38,$C:$C,C38,$D:$D,D38,$E:$E,E38,$L:$L,"Pre-Sale")</f>
        <v>0</v>
      </c>
      <c r="I38" s="7">
        <v>9</v>
      </c>
      <c r="J38" s="7">
        <f>F38+G38+H38-I38</f>
        <v>-6</v>
      </c>
      <c r="K38" s="7" t="s">
        <v>57</v>
      </c>
      <c r="L38" s="18" t="s">
        <v>18</v>
      </c>
    </row>
    <row r="39" spans="1:12" ht="16" customHeight="1" x14ac:dyDescent="0.2">
      <c r="A39" s="13" t="s">
        <v>50</v>
      </c>
      <c r="B39" s="14" t="s">
        <v>22</v>
      </c>
      <c r="C39" s="14" t="s">
        <v>32</v>
      </c>
      <c r="D39" s="14" t="s">
        <v>15</v>
      </c>
      <c r="E39" s="14" t="s">
        <v>16</v>
      </c>
      <c r="F39" s="7"/>
      <c r="G39" s="7"/>
      <c r="H39" s="7"/>
      <c r="I39" s="7"/>
      <c r="J39" s="7"/>
      <c r="K39" s="7" t="s">
        <v>58</v>
      </c>
      <c r="L39" s="18" t="s">
        <v>18</v>
      </c>
    </row>
    <row r="40" spans="1:12" ht="16" customHeight="1" x14ac:dyDescent="0.2">
      <c r="A40" s="13" t="s">
        <v>50</v>
      </c>
      <c r="B40" s="14" t="s">
        <v>22</v>
      </c>
      <c r="C40" s="14" t="s">
        <v>32</v>
      </c>
      <c r="D40" s="14" t="s">
        <v>15</v>
      </c>
      <c r="E40" s="14" t="s">
        <v>16</v>
      </c>
      <c r="F40" s="7"/>
      <c r="G40" s="7"/>
      <c r="H40" s="7"/>
      <c r="I40" s="7"/>
      <c r="J40" s="7"/>
      <c r="K40" s="7" t="s">
        <v>59</v>
      </c>
      <c r="L40" s="18" t="s">
        <v>18</v>
      </c>
    </row>
    <row r="41" spans="1:12" ht="16" customHeight="1" x14ac:dyDescent="0.2">
      <c r="A41" s="11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9"/>
    </row>
    <row r="42" spans="1:12" ht="16" customHeight="1" x14ac:dyDescent="0.2">
      <c r="A42" s="8" t="s">
        <v>50</v>
      </c>
      <c r="B42" s="9" t="s">
        <v>31</v>
      </c>
      <c r="C42" s="9" t="s">
        <v>38</v>
      </c>
      <c r="D42" s="9" t="s">
        <v>33</v>
      </c>
      <c r="E42" s="9" t="s">
        <v>39</v>
      </c>
      <c r="F42" s="10">
        <f>COUNTIFS($A:$A,A42,$B:$B,B42,$C:$C,C42,$D:$D,D42,$E:$E,E42,$L:$L,"In Stock")</f>
        <v>1</v>
      </c>
      <c r="G42" s="10">
        <f>COUNTIFS($A:$A,A42,$B:$B,B42,$C:$C,C42,$D:$D,D42,$E:$E,E42,$L:$L,"In Production")</f>
        <v>0</v>
      </c>
      <c r="H42" s="10">
        <f>COUNTIFS($A:$A,A42,$B:$B,B42,$C:$C,C42,$D:$D,D42,$E:$E,E42,$L:$L,"Pre-Sale")</f>
        <v>0</v>
      </c>
      <c r="I42" s="10">
        <v>7</v>
      </c>
      <c r="J42" s="10">
        <f>F42+G42+H42-I42</f>
        <v>-6</v>
      </c>
      <c r="K42" s="10" t="s">
        <v>60</v>
      </c>
      <c r="L42" s="20" t="s">
        <v>18</v>
      </c>
    </row>
    <row r="43" spans="1:12" ht="16" customHeight="1" x14ac:dyDescent="0.2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21"/>
    </row>
    <row r="44" spans="1:12" ht="16" customHeight="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21"/>
    </row>
    <row r="45" spans="1:12" ht="16" customHeight="1" x14ac:dyDescent="0.2">
      <c r="A45" s="2" t="s">
        <v>61</v>
      </c>
      <c r="B45" s="3" t="s">
        <v>22</v>
      </c>
      <c r="C45" s="3" t="s">
        <v>14</v>
      </c>
      <c r="D45" s="3" t="s">
        <v>23</v>
      </c>
      <c r="E45" s="3" t="s">
        <v>16</v>
      </c>
      <c r="F45" s="4">
        <f>COUNTIFS($A:$A,A45,$B:$B,B45,$C:$C,C45,$D:$D,D45,$E:$E,E45,$L:$L,"In Stock")</f>
        <v>8</v>
      </c>
      <c r="G45" s="4">
        <f>COUNTIFS($A:$A,A45,$B:$B,B45,$C:$C,C45,$D:$D,D45,$E:$E,E45,$L:$L,"In Production")</f>
        <v>0</v>
      </c>
      <c r="H45" s="4">
        <f>COUNTIFS($A:$A,A45,$B:$B,B45,$C:$C,C45,$D:$D,D45,$E:$E,E45,$L:$L,"Pre-Sale")</f>
        <v>0</v>
      </c>
      <c r="I45" s="4">
        <v>8</v>
      </c>
      <c r="J45" s="4">
        <f>F45+G45+H45-I45</f>
        <v>0</v>
      </c>
      <c r="K45" s="4" t="s">
        <v>62</v>
      </c>
      <c r="L45" s="17" t="s">
        <v>18</v>
      </c>
    </row>
    <row r="46" spans="1:12" ht="16" customHeight="1" x14ac:dyDescent="0.2">
      <c r="A46" s="13" t="s">
        <v>61</v>
      </c>
      <c r="B46" s="14" t="s">
        <v>22</v>
      </c>
      <c r="C46" s="14" t="s">
        <v>14</v>
      </c>
      <c r="D46" s="14" t="s">
        <v>23</v>
      </c>
      <c r="E46" s="14" t="s">
        <v>16</v>
      </c>
      <c r="F46" s="7"/>
      <c r="G46" s="7"/>
      <c r="H46" s="7"/>
      <c r="I46" s="7"/>
      <c r="J46" s="7"/>
      <c r="K46" s="7" t="s">
        <v>63</v>
      </c>
      <c r="L46" s="18" t="s">
        <v>18</v>
      </c>
    </row>
    <row r="47" spans="1:12" ht="16" customHeight="1" x14ac:dyDescent="0.2">
      <c r="A47" s="13" t="s">
        <v>61</v>
      </c>
      <c r="B47" s="14" t="s">
        <v>22</v>
      </c>
      <c r="C47" s="14" t="s">
        <v>14</v>
      </c>
      <c r="D47" s="14" t="s">
        <v>23</v>
      </c>
      <c r="E47" s="14" t="s">
        <v>16</v>
      </c>
      <c r="F47" s="7"/>
      <c r="G47" s="7"/>
      <c r="H47" s="7"/>
      <c r="I47" s="7"/>
      <c r="J47" s="7"/>
      <c r="K47" s="7" t="s">
        <v>64</v>
      </c>
      <c r="L47" s="18" t="s">
        <v>18</v>
      </c>
    </row>
    <row r="48" spans="1:12" ht="16" customHeight="1" x14ac:dyDescent="0.2">
      <c r="A48" s="13" t="s">
        <v>61</v>
      </c>
      <c r="B48" s="14" t="s">
        <v>22</v>
      </c>
      <c r="C48" s="14" t="s">
        <v>14</v>
      </c>
      <c r="D48" s="14" t="s">
        <v>23</v>
      </c>
      <c r="E48" s="14" t="s">
        <v>16</v>
      </c>
      <c r="F48" s="7"/>
      <c r="G48" s="7"/>
      <c r="H48" s="7"/>
      <c r="I48" s="7"/>
      <c r="J48" s="7"/>
      <c r="K48" s="7" t="s">
        <v>65</v>
      </c>
      <c r="L48" s="18" t="s">
        <v>18</v>
      </c>
    </row>
    <row r="49" spans="1:12" ht="16" customHeight="1" x14ac:dyDescent="0.2">
      <c r="A49" s="13" t="s">
        <v>61</v>
      </c>
      <c r="B49" s="14" t="s">
        <v>22</v>
      </c>
      <c r="C49" s="14" t="s">
        <v>14</v>
      </c>
      <c r="D49" s="14" t="s">
        <v>23</v>
      </c>
      <c r="E49" s="14" t="s">
        <v>16</v>
      </c>
      <c r="F49" s="7"/>
      <c r="G49" s="7"/>
      <c r="H49" s="7"/>
      <c r="I49" s="7"/>
      <c r="J49" s="7"/>
      <c r="K49" s="7" t="s">
        <v>66</v>
      </c>
      <c r="L49" s="18" t="s">
        <v>18</v>
      </c>
    </row>
    <row r="50" spans="1:12" ht="16" customHeight="1" x14ac:dyDescent="0.2">
      <c r="A50" s="13" t="s">
        <v>61</v>
      </c>
      <c r="B50" s="14" t="s">
        <v>22</v>
      </c>
      <c r="C50" s="14" t="s">
        <v>14</v>
      </c>
      <c r="D50" s="14" t="s">
        <v>23</v>
      </c>
      <c r="E50" s="14" t="s">
        <v>16</v>
      </c>
      <c r="F50" s="7"/>
      <c r="G50" s="7"/>
      <c r="H50" s="7"/>
      <c r="I50" s="7"/>
      <c r="J50" s="7"/>
      <c r="K50" s="7" t="s">
        <v>67</v>
      </c>
      <c r="L50" s="18" t="s">
        <v>18</v>
      </c>
    </row>
    <row r="51" spans="1:12" ht="16" customHeight="1" x14ac:dyDescent="0.2">
      <c r="A51" s="13" t="s">
        <v>61</v>
      </c>
      <c r="B51" s="14" t="s">
        <v>22</v>
      </c>
      <c r="C51" s="14" t="s">
        <v>14</v>
      </c>
      <c r="D51" s="14" t="s">
        <v>23</v>
      </c>
      <c r="E51" s="14" t="s">
        <v>16</v>
      </c>
      <c r="F51" s="7"/>
      <c r="G51" s="7"/>
      <c r="H51" s="7"/>
      <c r="I51" s="7"/>
      <c r="J51" s="7"/>
      <c r="K51" s="7" t="s">
        <v>68</v>
      </c>
      <c r="L51" s="18" t="s">
        <v>18</v>
      </c>
    </row>
    <row r="52" spans="1:12" ht="16" customHeight="1" x14ac:dyDescent="0.2">
      <c r="A52" s="13" t="s">
        <v>61</v>
      </c>
      <c r="B52" s="14" t="s">
        <v>22</v>
      </c>
      <c r="C52" s="14" t="s">
        <v>14</v>
      </c>
      <c r="D52" s="14" t="s">
        <v>23</v>
      </c>
      <c r="E52" s="14" t="s">
        <v>16</v>
      </c>
      <c r="F52" s="7"/>
      <c r="G52" s="7"/>
      <c r="H52" s="7"/>
      <c r="I52" s="7"/>
      <c r="J52" s="7"/>
      <c r="K52" s="7" t="s">
        <v>69</v>
      </c>
      <c r="L52" s="18" t="s">
        <v>18</v>
      </c>
    </row>
    <row r="53" spans="1:12" ht="16" customHeight="1" x14ac:dyDescent="0.2">
      <c r="A53" s="11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9"/>
    </row>
    <row r="54" spans="1:12" ht="16" customHeight="1" x14ac:dyDescent="0.2">
      <c r="A54" s="5" t="s">
        <v>61</v>
      </c>
      <c r="B54" s="6" t="s">
        <v>31</v>
      </c>
      <c r="C54" s="6" t="s">
        <v>45</v>
      </c>
      <c r="D54" s="6" t="s">
        <v>15</v>
      </c>
      <c r="E54" s="6" t="s">
        <v>70</v>
      </c>
      <c r="F54" s="7">
        <f>COUNTIFS($A:$A,A54,$B:$B,B54,$C:$C,C54,$D:$D,D54,$E:$E,E54,$L:$L,"In Stock")</f>
        <v>2</v>
      </c>
      <c r="G54" s="7">
        <f>COUNTIFS($A:$A,A54,$B:$B,B54,$C:$C,C54,$D:$D,D54,$E:$E,E54,$L:$L,"In Production")</f>
        <v>0</v>
      </c>
      <c r="H54" s="7">
        <f>COUNTIFS($A:$A,A54,$B:$B,B54,$C:$C,C54,$D:$D,D54,$E:$E,E54,$L:$L,"Pre-Sale")</f>
        <v>0</v>
      </c>
      <c r="I54" s="7">
        <v>6</v>
      </c>
      <c r="J54" s="7">
        <f>F54+G54+H54-I54</f>
        <v>-4</v>
      </c>
      <c r="K54" s="7" t="s">
        <v>71</v>
      </c>
      <c r="L54" s="18" t="s">
        <v>18</v>
      </c>
    </row>
    <row r="55" spans="1:12" ht="16" customHeight="1" x14ac:dyDescent="0.2">
      <c r="A55" s="15" t="s">
        <v>61</v>
      </c>
      <c r="B55" s="16" t="s">
        <v>31</v>
      </c>
      <c r="C55" s="16" t="s">
        <v>45</v>
      </c>
      <c r="D55" s="16" t="s">
        <v>15</v>
      </c>
      <c r="E55" s="16" t="s">
        <v>70</v>
      </c>
      <c r="F55" s="10"/>
      <c r="G55" s="10"/>
      <c r="H55" s="10"/>
      <c r="I55" s="10"/>
      <c r="J55" s="10"/>
      <c r="K55" s="10" t="s">
        <v>72</v>
      </c>
      <c r="L55" s="20" t="s">
        <v>18</v>
      </c>
    </row>
    <row r="56" spans="1:12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21"/>
    </row>
    <row r="57" spans="1:12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21"/>
    </row>
    <row r="58" spans="1:12" x14ac:dyDescent="0.2">
      <c r="A58" s="2" t="s">
        <v>73</v>
      </c>
      <c r="B58" s="3" t="s">
        <v>13</v>
      </c>
      <c r="C58" s="3" t="s">
        <v>38</v>
      </c>
      <c r="D58" s="3" t="s">
        <v>15</v>
      </c>
      <c r="E58" s="3" t="s">
        <v>46</v>
      </c>
      <c r="F58" s="4">
        <f>COUNTIFS($A:$A,A58,$B:$B,B58,$C:$C,C58,$D:$D,D58,$E:$E,E58,$L:$L,"In Stock")</f>
        <v>4</v>
      </c>
      <c r="G58" s="4">
        <f>COUNTIFS($A:$A,A58,$B:$B,B58,$C:$C,C58,$D:$D,D58,$E:$E,E58,$L:$L,"In Production")</f>
        <v>0</v>
      </c>
      <c r="H58" s="4">
        <f>COUNTIFS($A:$A,A58,$B:$B,B58,$C:$C,C58,$D:$D,D58,$E:$E,E58,$L:$L,"Pre-Sale")</f>
        <v>0</v>
      </c>
      <c r="I58" s="4">
        <v>5</v>
      </c>
      <c r="J58" s="4">
        <f>F58+G58+H58-I58</f>
        <v>-1</v>
      </c>
      <c r="K58" s="4" t="s">
        <v>74</v>
      </c>
      <c r="L58" s="17" t="s">
        <v>18</v>
      </c>
    </row>
    <row r="59" spans="1:12" x14ac:dyDescent="0.2">
      <c r="A59" s="13" t="s">
        <v>73</v>
      </c>
      <c r="B59" s="14" t="s">
        <v>13</v>
      </c>
      <c r="C59" s="14" t="s">
        <v>38</v>
      </c>
      <c r="D59" s="14" t="s">
        <v>15</v>
      </c>
      <c r="E59" s="14" t="s">
        <v>46</v>
      </c>
      <c r="F59" s="7"/>
      <c r="G59" s="7"/>
      <c r="H59" s="7"/>
      <c r="I59" s="7"/>
      <c r="J59" s="7"/>
      <c r="K59" s="7" t="s">
        <v>75</v>
      </c>
      <c r="L59" s="18" t="s">
        <v>18</v>
      </c>
    </row>
    <row r="60" spans="1:12" x14ac:dyDescent="0.2">
      <c r="A60" s="13" t="s">
        <v>73</v>
      </c>
      <c r="B60" s="14" t="s">
        <v>13</v>
      </c>
      <c r="C60" s="14" t="s">
        <v>38</v>
      </c>
      <c r="D60" s="14" t="s">
        <v>15</v>
      </c>
      <c r="E60" s="14" t="s">
        <v>46</v>
      </c>
      <c r="F60" s="7"/>
      <c r="G60" s="7"/>
      <c r="H60" s="7"/>
      <c r="I60" s="7"/>
      <c r="J60" s="7"/>
      <c r="K60" s="7" t="s">
        <v>76</v>
      </c>
      <c r="L60" s="18" t="s">
        <v>18</v>
      </c>
    </row>
    <row r="61" spans="1:12" x14ac:dyDescent="0.2">
      <c r="A61" s="15" t="s">
        <v>73</v>
      </c>
      <c r="B61" s="16" t="s">
        <v>13</v>
      </c>
      <c r="C61" s="16" t="s">
        <v>38</v>
      </c>
      <c r="D61" s="16" t="s">
        <v>15</v>
      </c>
      <c r="E61" s="16" t="s">
        <v>46</v>
      </c>
      <c r="F61" s="10"/>
      <c r="G61" s="10"/>
      <c r="H61" s="10"/>
      <c r="I61" s="10"/>
      <c r="J61" s="10"/>
      <c r="K61" s="10" t="s">
        <v>77</v>
      </c>
      <c r="L61" s="20" t="s">
        <v>18</v>
      </c>
    </row>
    <row r="62" spans="1:12" x14ac:dyDescent="0.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21"/>
    </row>
    <row r="63" spans="1:12" x14ac:dyDescent="0.2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21"/>
    </row>
    <row r="64" spans="1:12" x14ac:dyDescent="0.2">
      <c r="A64" s="2" t="s">
        <v>78</v>
      </c>
      <c r="B64" s="3" t="s">
        <v>13</v>
      </c>
      <c r="C64" s="3" t="s">
        <v>45</v>
      </c>
      <c r="D64" s="3" t="s">
        <v>23</v>
      </c>
      <c r="E64" s="3" t="s">
        <v>16</v>
      </c>
      <c r="F64" s="4">
        <f>COUNTIFS($A:$A,A64,$B:$B,B64,$C:$C,C64,$D:$D,D64,$E:$E,E64,$L:$L,"In Stock")</f>
        <v>5</v>
      </c>
      <c r="G64" s="4">
        <f>COUNTIFS($A:$A,A64,$B:$B,B64,$C:$C,C64,$D:$D,D64,$E:$E,E64,$L:$L,"In Production")</f>
        <v>0</v>
      </c>
      <c r="H64" s="4">
        <f>COUNTIFS($A:$A,A64,$B:$B,B64,$C:$C,C64,$D:$D,D64,$E:$E,E64,$L:$L,"Pre-Sale")</f>
        <v>0</v>
      </c>
      <c r="I64" s="4">
        <v>6</v>
      </c>
      <c r="J64" s="4">
        <f>F64+G64+H64-I64</f>
        <v>-1</v>
      </c>
      <c r="K64" s="4" t="s">
        <v>79</v>
      </c>
      <c r="L64" s="17" t="s">
        <v>18</v>
      </c>
    </row>
    <row r="65" spans="1:12" x14ac:dyDescent="0.2">
      <c r="A65" s="13" t="s">
        <v>78</v>
      </c>
      <c r="B65" s="14" t="s">
        <v>13</v>
      </c>
      <c r="C65" s="14" t="s">
        <v>45</v>
      </c>
      <c r="D65" s="14" t="s">
        <v>23</v>
      </c>
      <c r="E65" s="14" t="s">
        <v>16</v>
      </c>
      <c r="F65" s="7"/>
      <c r="G65" s="7"/>
      <c r="H65" s="7"/>
      <c r="I65" s="7"/>
      <c r="J65" s="7"/>
      <c r="K65" s="7" t="s">
        <v>80</v>
      </c>
      <c r="L65" s="18" t="s">
        <v>18</v>
      </c>
    </row>
    <row r="66" spans="1:12" x14ac:dyDescent="0.2">
      <c r="A66" s="13" t="s">
        <v>78</v>
      </c>
      <c r="B66" s="14" t="s">
        <v>13</v>
      </c>
      <c r="C66" s="14" t="s">
        <v>45</v>
      </c>
      <c r="D66" s="14" t="s">
        <v>23</v>
      </c>
      <c r="E66" s="14" t="s">
        <v>16</v>
      </c>
      <c r="F66" s="7"/>
      <c r="G66" s="7"/>
      <c r="H66" s="7"/>
      <c r="I66" s="7"/>
      <c r="J66" s="7"/>
      <c r="K66" s="7" t="s">
        <v>81</v>
      </c>
      <c r="L66" s="18" t="s">
        <v>18</v>
      </c>
    </row>
    <row r="67" spans="1:12" x14ac:dyDescent="0.2">
      <c r="A67" s="13" t="s">
        <v>78</v>
      </c>
      <c r="B67" s="14" t="s">
        <v>13</v>
      </c>
      <c r="C67" s="14" t="s">
        <v>45</v>
      </c>
      <c r="D67" s="14" t="s">
        <v>23</v>
      </c>
      <c r="E67" s="14" t="s">
        <v>16</v>
      </c>
      <c r="F67" s="7"/>
      <c r="G67" s="7"/>
      <c r="H67" s="7"/>
      <c r="I67" s="7"/>
      <c r="J67" s="7"/>
      <c r="K67" s="7" t="s">
        <v>82</v>
      </c>
      <c r="L67" s="18" t="s">
        <v>18</v>
      </c>
    </row>
    <row r="68" spans="1:12" x14ac:dyDescent="0.2">
      <c r="A68" s="13" t="s">
        <v>78</v>
      </c>
      <c r="B68" s="14" t="s">
        <v>13</v>
      </c>
      <c r="C68" s="14" t="s">
        <v>45</v>
      </c>
      <c r="D68" s="14" t="s">
        <v>23</v>
      </c>
      <c r="E68" s="14" t="s">
        <v>16</v>
      </c>
      <c r="F68" s="7"/>
      <c r="G68" s="7"/>
      <c r="H68" s="7"/>
      <c r="I68" s="7"/>
      <c r="J68" s="7"/>
      <c r="K68" s="7" t="s">
        <v>83</v>
      </c>
      <c r="L68" s="18" t="s">
        <v>18</v>
      </c>
    </row>
    <row r="69" spans="1:12" x14ac:dyDescent="0.2">
      <c r="A69" s="11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9"/>
    </row>
    <row r="70" spans="1:12" x14ac:dyDescent="0.2">
      <c r="A70" s="5" t="s">
        <v>78</v>
      </c>
      <c r="B70" s="6" t="s">
        <v>22</v>
      </c>
      <c r="C70" s="6" t="s">
        <v>14</v>
      </c>
      <c r="D70" s="6" t="s">
        <v>15</v>
      </c>
      <c r="E70" s="6" t="s">
        <v>39</v>
      </c>
      <c r="F70" s="7">
        <f>COUNTIFS($A:$A,A70,$B:$B,B70,$C:$C,C70,$D:$D,D70,$E:$E,E70,$L:$L,"In Stock")</f>
        <v>3</v>
      </c>
      <c r="G70" s="7">
        <f>COUNTIFS($A:$A,A70,$B:$B,B70,$C:$C,C70,$D:$D,D70,$E:$E,E70,$L:$L,"In Production")</f>
        <v>0</v>
      </c>
      <c r="H70" s="7">
        <f>COUNTIFS($A:$A,A70,$B:$B,B70,$C:$C,C70,$D:$D,D70,$E:$E,E70,$L:$L,"Pre-Sale")</f>
        <v>0</v>
      </c>
      <c r="I70" s="7">
        <v>7</v>
      </c>
      <c r="J70" s="7">
        <f>F70+G70+H70-I70</f>
        <v>-4</v>
      </c>
      <c r="K70" s="7" t="s">
        <v>84</v>
      </c>
      <c r="L70" s="18" t="s">
        <v>18</v>
      </c>
    </row>
    <row r="71" spans="1:12" x14ac:dyDescent="0.2">
      <c r="A71" s="13" t="s">
        <v>78</v>
      </c>
      <c r="B71" s="14" t="s">
        <v>22</v>
      </c>
      <c r="C71" s="14" t="s">
        <v>14</v>
      </c>
      <c r="D71" s="14" t="s">
        <v>15</v>
      </c>
      <c r="E71" s="14" t="s">
        <v>39</v>
      </c>
      <c r="F71" s="7"/>
      <c r="G71" s="7"/>
      <c r="H71" s="7"/>
      <c r="I71" s="7"/>
      <c r="J71" s="7"/>
      <c r="K71" s="7" t="s">
        <v>85</v>
      </c>
      <c r="L71" s="18" t="s">
        <v>18</v>
      </c>
    </row>
    <row r="72" spans="1:12" x14ac:dyDescent="0.2">
      <c r="A72" s="13" t="s">
        <v>78</v>
      </c>
      <c r="B72" s="14" t="s">
        <v>22</v>
      </c>
      <c r="C72" s="14" t="s">
        <v>14</v>
      </c>
      <c r="D72" s="14" t="s">
        <v>15</v>
      </c>
      <c r="E72" s="14" t="s">
        <v>39</v>
      </c>
      <c r="F72" s="7"/>
      <c r="G72" s="7"/>
      <c r="H72" s="7"/>
      <c r="I72" s="7"/>
      <c r="J72" s="7"/>
      <c r="K72" s="7" t="s">
        <v>86</v>
      </c>
      <c r="L72" s="18" t="s">
        <v>18</v>
      </c>
    </row>
    <row r="73" spans="1:12" x14ac:dyDescent="0.2">
      <c r="A73" s="11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9"/>
    </row>
    <row r="74" spans="1:12" x14ac:dyDescent="0.2">
      <c r="A74" s="8" t="s">
        <v>78</v>
      </c>
      <c r="B74" s="9" t="s">
        <v>31</v>
      </c>
      <c r="C74" s="9" t="s">
        <v>32</v>
      </c>
      <c r="D74" s="9" t="s">
        <v>33</v>
      </c>
      <c r="E74" s="9" t="s">
        <v>70</v>
      </c>
      <c r="F74" s="10">
        <f>COUNTIFS($A:$A,A74,$B:$B,B74,$C:$C,C74,$D:$D,D74,$E:$E,E74,$L:$L,"In Stock")</f>
        <v>1</v>
      </c>
      <c r="G74" s="10">
        <f>COUNTIFS($A:$A,A74,$B:$B,B74,$C:$C,C74,$D:$D,D74,$E:$E,E74,$L:$L,"In Production")</f>
        <v>0</v>
      </c>
      <c r="H74" s="10">
        <f>COUNTIFS($A:$A,A74,$B:$B,B74,$C:$C,C74,$D:$D,D74,$E:$E,E74,$L:$L,"Pre-Sale")</f>
        <v>0</v>
      </c>
      <c r="I74" s="10">
        <v>8</v>
      </c>
      <c r="J74" s="10">
        <f>F74+G74+H74-I74</f>
        <v>-7</v>
      </c>
      <c r="K74" s="10" t="s">
        <v>87</v>
      </c>
      <c r="L74" s="20" t="s">
        <v>18</v>
      </c>
    </row>
    <row r="75" spans="1:12" x14ac:dyDescent="0.2">
      <c r="L75" s="22"/>
    </row>
    <row r="76" spans="1:12" x14ac:dyDescent="0.2">
      <c r="A76" s="23" t="s">
        <v>12</v>
      </c>
      <c r="B76" s="23" t="s">
        <v>13</v>
      </c>
      <c r="C76" s="23" t="s">
        <v>14</v>
      </c>
      <c r="D76" s="23" t="s">
        <v>15</v>
      </c>
      <c r="E76" s="23" t="s">
        <v>16</v>
      </c>
      <c r="K76" s="22"/>
    </row>
    <row r="77" spans="1:12" x14ac:dyDescent="0.2">
      <c r="A77" s="23" t="s">
        <v>78</v>
      </c>
      <c r="B77" s="23" t="s">
        <v>22</v>
      </c>
      <c r="C77" s="23" t="s">
        <v>38</v>
      </c>
      <c r="D77" s="23" t="s">
        <v>23</v>
      </c>
      <c r="E77" s="23" t="s">
        <v>34</v>
      </c>
      <c r="K77" s="22"/>
    </row>
  </sheetData>
  <conditionalFormatting sqref="J3:J74">
    <cfRule type="cellIs" dxfId="4" priority="1" operator="lessThan">
      <formula>0</formula>
    </cfRule>
  </conditionalFormatting>
  <conditionalFormatting sqref="L3:L74">
    <cfRule type="cellIs" dxfId="3" priority="2" operator="equal">
      <formula>"In Stock"</formula>
    </cfRule>
    <cfRule type="cellIs" dxfId="2" priority="3" operator="equal">
      <formula>"Pre-Sale"</formula>
    </cfRule>
    <cfRule type="cellIs" dxfId="1" priority="4" operator="equal">
      <formula>"In Production"</formula>
    </cfRule>
    <cfRule type="expression" dxfId="0" priority="5">
      <formula>LEFT($L3,9)="Allocated"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Nikos George</cp:lastModifiedBy>
  <dcterms:created xsi:type="dcterms:W3CDTF">2026-06-17T20:50:51Z</dcterms:created>
  <dcterms:modified xsi:type="dcterms:W3CDTF">2026-06-18T18:22:25Z</dcterms:modified>
</cp:coreProperties>
</file>