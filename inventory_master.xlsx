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00000"/>
      <sz val="10"/>
    </font>
    <font>
      <name val="Arial"/>
      <color rgb="FFFFFFFF"/>
      <sz val="10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404040"/>
      </left>
      <right style="thin">
        <color rgb="00BFBFBF"/>
      </right>
      <top style="medium">
        <color rgb="00404040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404040"/>
      </top>
      <bottom style="thin">
        <color rgb="00BFBFBF"/>
      </bottom>
    </border>
    <border>
      <left style="thin">
        <color rgb="00BFBFBF"/>
      </left>
      <right style="medium">
        <color rgb="00404040"/>
      </right>
      <top style="medium">
        <color rgb="00404040"/>
      </top>
      <bottom style="thin">
        <color rgb="00BFBFBF"/>
      </bottom>
    </border>
    <border>
      <left style="medium">
        <color rgb="00404040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medium">
        <color rgb="00404040"/>
      </right>
      <top style="thin">
        <color rgb="00BFBFBF"/>
      </top>
      <bottom style="thin">
        <color rgb="00BFBFBF"/>
      </bottom>
    </border>
    <border>
      <left style="medium">
        <color rgb="00404040"/>
      </left>
      <right style="thin">
        <color rgb="00BFBFBF"/>
      </right>
      <top style="thin">
        <color rgb="00BFBFBF"/>
      </top>
      <bottom style="medium">
        <color rgb="0040404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404040"/>
      </bottom>
    </border>
    <border>
      <left style="thin">
        <color rgb="00BFBFBF"/>
      </left>
      <right style="medium">
        <color rgb="00404040"/>
      </right>
      <top style="thin">
        <color rgb="00BFBFBF"/>
      </top>
      <bottom style="medium">
        <color rgb="0040404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0" fontId="3" fillId="0" borderId="3" applyAlignment="1" pivotButton="0" quotePrefix="0" xfId="0">
      <alignment horizontal="left" vertic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7" applyAlignment="1" pivotButton="0" quotePrefix="0" xfId="0">
      <alignment horizontal="left" vertical="center"/>
    </xf>
    <xf numFmtId="0" fontId="3" fillId="0" borderId="8" applyAlignment="1" pivotButton="0" quotePrefix="0" xfId="0">
      <alignment horizontal="left" vertical="center"/>
    </xf>
    <xf numFmtId="0" fontId="3" fillId="0" borderId="8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1" pivotButton="0" quotePrefix="0" xfId="0"/>
    <xf numFmtId="0" fontId="3" fillId="0" borderId="6" pivotButton="0" quotePrefix="0" xfId="0"/>
    <xf numFmtId="0" fontId="4" fillId="0" borderId="5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</cellXfs>
  <cellStyles count="1">
    <cellStyle name="Normal" xfId="0" builtinId="0" hidden="0"/>
  </cellStyles>
  <dxfs count="9">
    <dxf>
      <font>
        <name val="Arial"/>
        <color rgb="00375623"/>
        <sz val="10"/>
      </font>
      <fill>
        <patternFill patternType="solid">
          <fgColor rgb="00C6EFCE"/>
        </patternFill>
      </fill>
    </dxf>
    <dxf>
      <font>
        <name val="Arial"/>
        <color rgb="009C65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1F3864"/>
        <sz val="10"/>
      </font>
      <fill>
        <patternFill patternType="solid">
          <fgColor rgb="00BDD7EE"/>
        </patternFill>
      </fill>
    </dxf>
    <dxf>
      <font>
        <name val="Arial"/>
        <color rgb="FFC00000"/>
        <sz val="10"/>
      </font>
      <fill>
        <patternFill patternType="solid">
          <fgColor rgb="FFFFCCCC"/>
        </patternFill>
      </fill>
    </dxf>
    <dxf>
      <font>
        <name val="Arial"/>
        <color rgb="FF000000"/>
        <sz val="10"/>
      </font>
      <fill>
        <patternFill patternType="solid">
          <fgColor rgb="FFC6EFCE"/>
        </patternFill>
      </fill>
    </dxf>
    <dxf>
      <font>
        <name val="Arial"/>
        <color rgb="FF000000"/>
        <sz val="10"/>
      </font>
      <fill>
        <patternFill patternType="solid">
          <fgColor rgb="FFFFEB9C"/>
        </patternFill>
      </fill>
    </dxf>
    <dxf>
      <font>
        <name val="Arial"/>
        <color rgb="FF000000"/>
        <sz val="10"/>
      </font>
      <fill>
        <patternFill patternType="solid">
          <fgColor rgb="FFFFC7CE"/>
        </patternFill>
      </fill>
    </dxf>
    <dxf>
      <font>
        <name val="Arial"/>
        <color rgb="FF000000"/>
        <sz val="10"/>
      </font>
      <fill>
        <patternFill patternType="solid">
          <fgColor rgb="FF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1" customWidth="1" min="3" max="3"/>
    <col width="16" customWidth="1" min="4" max="4"/>
    <col width="13" customWidth="1" min="5" max="5"/>
    <col width="14" customWidth="1" min="6" max="6"/>
    <col width="20" customWidth="1" min="7" max="7"/>
    <col width="13" customWidth="1" min="8" max="8"/>
    <col width="14" customWidth="1" min="9" max="9"/>
    <col width="11" customWidth="1" min="10" max="10"/>
    <col width="18" customWidth="1" min="11" max="11"/>
    <col width="16" customWidth="1" min="12" max="12"/>
  </cols>
  <sheetData>
    <row r="1" ht="20" customHeight="1">
      <c r="A1" s="1" t="inlineStr">
        <is>
          <t>Design Name</t>
        </is>
      </c>
      <c r="B1" s="1" t="inlineStr">
        <is>
          <t>Size</t>
        </is>
      </c>
      <c r="C1" s="1" t="inlineStr">
        <is>
          <t>Finish</t>
        </is>
      </c>
      <c r="D1" s="1" t="inlineStr">
        <is>
          <t>Swing</t>
        </is>
      </c>
      <c r="E1" s="1" t="inlineStr">
        <is>
          <t>Glass Type</t>
        </is>
      </c>
      <c r="F1" s="1" t="inlineStr">
        <is>
          <t>In-Stock QTY</t>
        </is>
      </c>
      <c r="G1" s="1" t="inlineStr">
        <is>
          <t>In-Production QTY</t>
        </is>
      </c>
      <c r="H1" s="1" t="inlineStr">
        <is>
          <t>Pre-Sale QTY</t>
        </is>
      </c>
      <c r="I1" s="1" t="inlineStr">
        <is>
          <t>Optimal Count</t>
        </is>
      </c>
      <c r="J1" s="1" t="inlineStr">
        <is>
          <t>Variance</t>
        </is>
      </c>
      <c r="K1" s="1" t="inlineStr">
        <is>
          <t>Serial Number</t>
        </is>
      </c>
      <c r="L1" s="1" t="inlineStr">
        <is>
          <t>Status</t>
        </is>
      </c>
    </row>
    <row r="2" ht="16" customHeight="1"/>
    <row r="3" ht="16" customHeight="1">
      <c r="A3" s="4" t="inlineStr">
        <is>
          <t>Valencia</t>
        </is>
      </c>
      <c r="B3" s="5" t="inlineStr">
        <is>
          <t>32" x 80"</t>
        </is>
      </c>
      <c r="C3" s="5" t="inlineStr">
        <is>
          <t>Matte Black</t>
        </is>
      </c>
      <c r="D3" s="5" t="inlineStr">
        <is>
          <t>Left Inswing</t>
        </is>
      </c>
      <c r="E3" s="5" t="inlineStr">
        <is>
          <t>Clear</t>
        </is>
      </c>
      <c r="F3" s="6">
        <f>COUNTIFS($A:$A,A3,$B:$B,B3,$C:$C,C3,$D:$D,D3,$E:$E,E3,$L:$L,"In Stock")</f>
        <v/>
      </c>
      <c r="G3" s="6">
        <f>COUNTIFS($A:$A,A3,$B:$B,B3,$C:$C,C3,$D:$D,D3,$E:$E,E3,$L:$L,"In Production")</f>
        <v/>
      </c>
      <c r="H3" s="6">
        <f>COUNTIFS($A:$A,A3,$B:$B,B3,$C:$C,C3,$D:$D,D3,$E:$E,E3,$L:$L,"Pre-Sale")</f>
        <v/>
      </c>
      <c r="I3" s="6" t="n">
        <v>6</v>
      </c>
      <c r="J3" s="6">
        <f>F3+G3+H3-I3</f>
        <v/>
      </c>
      <c r="K3" s="6" t="inlineStr">
        <is>
          <t>24-0315-0001</t>
        </is>
      </c>
      <c r="L3" s="7" t="inlineStr">
        <is>
          <t>In Stock</t>
        </is>
      </c>
    </row>
    <row r="4" ht="16" customHeight="1">
      <c r="A4" s="19" t="inlineStr">
        <is>
          <t>Valencia</t>
        </is>
      </c>
      <c r="B4" s="20" t="inlineStr">
        <is>
          <t>32" x 80"</t>
        </is>
      </c>
      <c r="C4" s="20" t="inlineStr">
        <is>
          <t>Matte Black</t>
        </is>
      </c>
      <c r="D4" s="20" t="inlineStr">
        <is>
          <t>Left Inswing</t>
        </is>
      </c>
      <c r="E4" s="20" t="inlineStr">
        <is>
          <t>Clear</t>
        </is>
      </c>
      <c r="F4" s="10" t="n"/>
      <c r="G4" s="10" t="n"/>
      <c r="H4" s="10" t="n"/>
      <c r="I4" s="10" t="n"/>
      <c r="J4" s="10" t="n"/>
      <c r="K4" s="10" t="inlineStr">
        <is>
          <t>24-0315-0002</t>
        </is>
      </c>
      <c r="L4" s="11" t="inlineStr">
        <is>
          <t>In Stock</t>
        </is>
      </c>
    </row>
    <row r="5" ht="16" customHeight="1">
      <c r="A5" s="19" t="inlineStr">
        <is>
          <t>Valencia</t>
        </is>
      </c>
      <c r="B5" s="20" t="inlineStr">
        <is>
          <t>32" x 80"</t>
        </is>
      </c>
      <c r="C5" s="20" t="inlineStr">
        <is>
          <t>Matte Black</t>
        </is>
      </c>
      <c r="D5" s="20" t="inlineStr">
        <is>
          <t>Left Inswing</t>
        </is>
      </c>
      <c r="E5" s="20" t="inlineStr">
        <is>
          <t>Clear</t>
        </is>
      </c>
      <c r="F5" s="10" t="n"/>
      <c r="G5" s="10" t="n"/>
      <c r="H5" s="10" t="n"/>
      <c r="I5" s="10" t="n"/>
      <c r="J5" s="10" t="n"/>
      <c r="K5" s="10" t="inlineStr">
        <is>
          <t>24-0315-0003</t>
        </is>
      </c>
      <c r="L5" s="11" t="inlineStr">
        <is>
          <t>In Stock</t>
        </is>
      </c>
    </row>
    <row r="6" ht="16" customHeight="1">
      <c r="A6" s="19" t="inlineStr">
        <is>
          <t>Valencia</t>
        </is>
      </c>
      <c r="B6" s="20" t="inlineStr">
        <is>
          <t>32" x 80"</t>
        </is>
      </c>
      <c r="C6" s="20" t="inlineStr">
        <is>
          <t>Matte Black</t>
        </is>
      </c>
      <c r="D6" s="20" t="inlineStr">
        <is>
          <t>Left Inswing</t>
        </is>
      </c>
      <c r="E6" s="20" t="inlineStr">
        <is>
          <t>Clear</t>
        </is>
      </c>
      <c r="F6" s="10" t="n"/>
      <c r="G6" s="10" t="n"/>
      <c r="H6" s="10" t="n"/>
      <c r="I6" s="10" t="n"/>
      <c r="J6" s="10" t="n"/>
      <c r="K6" s="10" t="inlineStr">
        <is>
          <t>24-0315-0004</t>
        </is>
      </c>
      <c r="L6" s="11" t="inlineStr">
        <is>
          <t>In Stock</t>
        </is>
      </c>
    </row>
    <row r="7" ht="16" customHeight="1">
      <c r="A7" s="16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8" t="n"/>
    </row>
    <row r="8" ht="16" customHeight="1">
      <c r="A8" s="8" t="inlineStr">
        <is>
          <t>Valencia</t>
        </is>
      </c>
      <c r="B8" s="9" t="inlineStr">
        <is>
          <t>36" x 80"</t>
        </is>
      </c>
      <c r="C8" s="9" t="inlineStr">
        <is>
          <t>Matte Black</t>
        </is>
      </c>
      <c r="D8" s="9" t="inlineStr">
        <is>
          <t>Right Inswing</t>
        </is>
      </c>
      <c r="E8" s="9" t="inlineStr">
        <is>
          <t>Clear</t>
        </is>
      </c>
      <c r="F8" s="10">
        <f>COUNTIFS($A:$A,A8,$B:$B,B8,$C:$C,C8,$D:$D,D8,$E:$E,E8,$L:$L,"In Stock")</f>
        <v/>
      </c>
      <c r="G8" s="10">
        <f>COUNTIFS($A:$A,A8,$B:$B,B8,$C:$C,C8,$D:$D,D8,$E:$E,E8,$L:$L,"In Production")</f>
        <v/>
      </c>
      <c r="H8" s="10">
        <f>COUNTIFS($A:$A,A8,$B:$B,B8,$C:$C,C8,$D:$D,D8,$E:$E,E8,$L:$L,"Pre-Sale")</f>
        <v/>
      </c>
      <c r="I8" s="10" t="n">
        <v>8</v>
      </c>
      <c r="J8" s="10">
        <f>F8+G8+H8-I8</f>
        <v/>
      </c>
      <c r="K8" s="10" t="inlineStr">
        <is>
          <t>24-0315-0005</t>
        </is>
      </c>
      <c r="L8" s="11" t="inlineStr">
        <is>
          <t>In Stock</t>
        </is>
      </c>
    </row>
    <row r="9" ht="16" customHeight="1">
      <c r="A9" s="19" t="inlineStr">
        <is>
          <t>Valencia</t>
        </is>
      </c>
      <c r="B9" s="20" t="inlineStr">
        <is>
          <t>36" x 80"</t>
        </is>
      </c>
      <c r="C9" s="20" t="inlineStr">
        <is>
          <t>Matte Black</t>
        </is>
      </c>
      <c r="D9" s="20" t="inlineStr">
        <is>
          <t>Right Inswing</t>
        </is>
      </c>
      <c r="E9" s="20" t="inlineStr">
        <is>
          <t>Clear</t>
        </is>
      </c>
      <c r="F9" s="10" t="n"/>
      <c r="G9" s="10" t="n"/>
      <c r="H9" s="10" t="n"/>
      <c r="I9" s="10" t="n"/>
      <c r="J9" s="10" t="n"/>
      <c r="K9" s="10" t="inlineStr">
        <is>
          <t>24-0315-0006</t>
        </is>
      </c>
      <c r="L9" s="11" t="inlineStr">
        <is>
          <t>In Stock</t>
        </is>
      </c>
    </row>
    <row r="10" ht="16" customHeight="1">
      <c r="A10" s="19" t="inlineStr">
        <is>
          <t>Valencia</t>
        </is>
      </c>
      <c r="B10" s="20" t="inlineStr">
        <is>
          <t>36" x 80"</t>
        </is>
      </c>
      <c r="C10" s="20" t="inlineStr">
        <is>
          <t>Matte Black</t>
        </is>
      </c>
      <c r="D10" s="20" t="inlineStr">
        <is>
          <t>Right Inswing</t>
        </is>
      </c>
      <c r="E10" s="20" t="inlineStr">
        <is>
          <t>Clear</t>
        </is>
      </c>
      <c r="F10" s="10" t="n"/>
      <c r="G10" s="10" t="n"/>
      <c r="H10" s="10" t="n"/>
      <c r="I10" s="10" t="n"/>
      <c r="J10" s="10" t="n"/>
      <c r="K10" s="10" t="inlineStr">
        <is>
          <t>24-0315-0007</t>
        </is>
      </c>
      <c r="L10" s="11" t="inlineStr">
        <is>
          <t>In Stock</t>
        </is>
      </c>
    </row>
    <row r="11" ht="16" customHeight="1">
      <c r="A11" s="19" t="inlineStr">
        <is>
          <t>Valencia</t>
        </is>
      </c>
      <c r="B11" s="20" t="inlineStr">
        <is>
          <t>36" x 80"</t>
        </is>
      </c>
      <c r="C11" s="20" t="inlineStr">
        <is>
          <t>Matte Black</t>
        </is>
      </c>
      <c r="D11" s="20" t="inlineStr">
        <is>
          <t>Right Inswing</t>
        </is>
      </c>
      <c r="E11" s="20" t="inlineStr">
        <is>
          <t>Clear</t>
        </is>
      </c>
      <c r="F11" s="10" t="n"/>
      <c r="G11" s="10" t="n"/>
      <c r="H11" s="10" t="n"/>
      <c r="I11" s="10" t="n"/>
      <c r="J11" s="10" t="n"/>
      <c r="K11" s="10" t="inlineStr">
        <is>
          <t>24-0315-0008</t>
        </is>
      </c>
      <c r="L11" s="11" t="inlineStr">
        <is>
          <t>In Stock</t>
        </is>
      </c>
    </row>
    <row r="12" ht="16" customHeight="1">
      <c r="A12" s="19" t="inlineStr">
        <is>
          <t>Valencia</t>
        </is>
      </c>
      <c r="B12" s="20" t="inlineStr">
        <is>
          <t>36" x 80"</t>
        </is>
      </c>
      <c r="C12" s="20" t="inlineStr">
        <is>
          <t>Matte Black</t>
        </is>
      </c>
      <c r="D12" s="20" t="inlineStr">
        <is>
          <t>Right Inswing</t>
        </is>
      </c>
      <c r="E12" s="20" t="inlineStr">
        <is>
          <t>Clear</t>
        </is>
      </c>
      <c r="F12" s="10" t="n"/>
      <c r="G12" s="10" t="n"/>
      <c r="H12" s="10" t="n"/>
      <c r="I12" s="10" t="n"/>
      <c r="J12" s="10" t="n"/>
      <c r="K12" s="10" t="inlineStr">
        <is>
          <t>24-0315-0009</t>
        </is>
      </c>
      <c r="L12" s="11" t="inlineStr">
        <is>
          <t>In Stock</t>
        </is>
      </c>
    </row>
    <row r="13" ht="16" customHeight="1">
      <c r="A13" s="19" t="inlineStr">
        <is>
          <t>Valencia</t>
        </is>
      </c>
      <c r="B13" s="20" t="inlineStr">
        <is>
          <t>36" x 80"</t>
        </is>
      </c>
      <c r="C13" s="20" t="inlineStr">
        <is>
          <t>Matte Black</t>
        </is>
      </c>
      <c r="D13" s="20" t="inlineStr">
        <is>
          <t>Right Inswing</t>
        </is>
      </c>
      <c r="E13" s="20" t="inlineStr">
        <is>
          <t>Clear</t>
        </is>
      </c>
      <c r="F13" s="10" t="n"/>
      <c r="G13" s="10" t="n"/>
      <c r="H13" s="10" t="n"/>
      <c r="I13" s="10" t="n"/>
      <c r="J13" s="10" t="n"/>
      <c r="K13" s="10" t="inlineStr">
        <is>
          <t>24-0315-0010</t>
        </is>
      </c>
      <c r="L13" s="11" t="inlineStr">
        <is>
          <t>In Stock</t>
        </is>
      </c>
    </row>
    <row r="14" ht="16" customHeight="1">
      <c r="A14" s="19" t="inlineStr">
        <is>
          <t>Valencia</t>
        </is>
      </c>
      <c r="B14" s="20" t="inlineStr">
        <is>
          <t>36" x 80"</t>
        </is>
      </c>
      <c r="C14" s="20" t="inlineStr">
        <is>
          <t>Matte Black</t>
        </is>
      </c>
      <c r="D14" s="20" t="inlineStr">
        <is>
          <t>Right Inswing</t>
        </is>
      </c>
      <c r="E14" s="20" t="inlineStr">
        <is>
          <t>Clear</t>
        </is>
      </c>
      <c r="F14" s="10" t="n"/>
      <c r="G14" s="10" t="n"/>
      <c r="H14" s="10" t="n"/>
      <c r="I14" s="10" t="n"/>
      <c r="J14" s="10" t="n"/>
      <c r="K14" s="10" t="inlineStr">
        <is>
          <t>24-0315-0011</t>
        </is>
      </c>
      <c r="L14" s="11" t="inlineStr">
        <is>
          <t>In Stock</t>
        </is>
      </c>
    </row>
    <row r="15" ht="16" customHeight="1">
      <c r="A15" s="16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8" t="n"/>
    </row>
    <row r="16" ht="16" customHeight="1">
      <c r="A16" s="8" t="inlineStr">
        <is>
          <t>Valencia</t>
        </is>
      </c>
      <c r="B16" s="9" t="inlineStr">
        <is>
          <t>36" x 96"</t>
        </is>
      </c>
      <c r="C16" s="9" t="inlineStr">
        <is>
          <t>Oil-Rubbed Bronze</t>
        </is>
      </c>
      <c r="D16" s="9" t="inlineStr">
        <is>
          <t>Right Outswing</t>
        </is>
      </c>
      <c r="E16" s="9" t="inlineStr">
        <is>
          <t>Frosted</t>
        </is>
      </c>
      <c r="F16" s="10">
        <f>COUNTIFS($A:$A,A16,$B:$B,B16,$C:$C,C16,$D:$D,D16,$E:$E,E16,$L:$L,"In Stock")</f>
        <v/>
      </c>
      <c r="G16" s="10">
        <f>COUNTIFS($A:$A,A16,$B:$B,B16,$C:$C,C16,$D:$D,D16,$E:$E,E16,$L:$L,"In Production")</f>
        <v/>
      </c>
      <c r="H16" s="10">
        <f>COUNTIFS($A:$A,A16,$B:$B,B16,$C:$C,C16,$D:$D,D16,$E:$E,E16,$L:$L,"Pre-Sale")</f>
        <v/>
      </c>
      <c r="I16" s="10" t="n">
        <v>6</v>
      </c>
      <c r="J16" s="10">
        <f>F16+G16+H16-I16</f>
        <v/>
      </c>
      <c r="K16" s="10" t="inlineStr">
        <is>
          <t>24-0721-0012</t>
        </is>
      </c>
      <c r="L16" s="11" t="inlineStr">
        <is>
          <t>In Stock</t>
        </is>
      </c>
    </row>
    <row r="17" ht="16" customHeight="1">
      <c r="A17" s="21" t="inlineStr">
        <is>
          <t>Valencia</t>
        </is>
      </c>
      <c r="B17" s="22" t="inlineStr">
        <is>
          <t>36" x 96"</t>
        </is>
      </c>
      <c r="C17" s="22" t="inlineStr">
        <is>
          <t>Oil-Rubbed Bronze</t>
        </is>
      </c>
      <c r="D17" s="22" t="inlineStr">
        <is>
          <t>Right Outswing</t>
        </is>
      </c>
      <c r="E17" s="22" t="inlineStr">
        <is>
          <t>Frosted</t>
        </is>
      </c>
      <c r="F17" s="14" t="n"/>
      <c r="G17" s="14" t="n"/>
      <c r="H17" s="14" t="n"/>
      <c r="I17" s="14" t="n"/>
      <c r="J17" s="14" t="n"/>
      <c r="K17" s="14" t="inlineStr">
        <is>
          <t>24-0721-0013</t>
        </is>
      </c>
      <c r="L17" s="15" t="inlineStr">
        <is>
          <t>In Stock</t>
        </is>
      </c>
    </row>
    <row r="18" ht="16" customHeight="1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</row>
    <row r="19" ht="16" customHeight="1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</row>
    <row r="20" ht="16" customHeight="1">
      <c r="A20" s="4" t="inlineStr">
        <is>
          <t>Sevilla</t>
        </is>
      </c>
      <c r="B20" s="5" t="inlineStr">
        <is>
          <t>32" x 80"</t>
        </is>
      </c>
      <c r="C20" s="5" t="inlineStr">
        <is>
          <t>Brushed Nickel</t>
        </is>
      </c>
      <c r="D20" s="5" t="inlineStr">
        <is>
          <t>Right Inswing</t>
        </is>
      </c>
      <c r="E20" s="5" t="inlineStr">
        <is>
          <t>Rain</t>
        </is>
      </c>
      <c r="F20" s="6">
        <f>COUNTIFS($A:$A,A20,$B:$B,B20,$C:$C,C20,$D:$D,D20,$E:$E,E20,$L:$L,"In Stock")</f>
        <v/>
      </c>
      <c r="G20" s="6">
        <f>COUNTIFS($A:$A,A20,$B:$B,B20,$C:$C,C20,$D:$D,D20,$E:$E,E20,$L:$L,"In Production")</f>
        <v/>
      </c>
      <c r="H20" s="6">
        <f>COUNTIFS($A:$A,A20,$B:$B,B20,$C:$C,C20,$D:$D,D20,$E:$E,E20,$L:$L,"Pre-Sale")</f>
        <v/>
      </c>
      <c r="I20" s="6" t="n">
        <v>7</v>
      </c>
      <c r="J20" s="6">
        <f>F20+G20+H20-I20</f>
        <v/>
      </c>
      <c r="K20" s="6" t="inlineStr">
        <is>
          <t>24-1102-0014</t>
        </is>
      </c>
      <c r="L20" s="7" t="inlineStr">
        <is>
          <t>In Stock</t>
        </is>
      </c>
    </row>
    <row r="21" ht="16" customHeight="1">
      <c r="A21" s="19" t="inlineStr">
        <is>
          <t>Sevilla</t>
        </is>
      </c>
      <c r="B21" s="20" t="inlineStr">
        <is>
          <t>32" x 80"</t>
        </is>
      </c>
      <c r="C21" s="20" t="inlineStr">
        <is>
          <t>Brushed Nickel</t>
        </is>
      </c>
      <c r="D21" s="20" t="inlineStr">
        <is>
          <t>Right Inswing</t>
        </is>
      </c>
      <c r="E21" s="20" t="inlineStr">
        <is>
          <t>Rain</t>
        </is>
      </c>
      <c r="F21" s="10" t="n"/>
      <c r="G21" s="10" t="n"/>
      <c r="H21" s="10" t="n"/>
      <c r="I21" s="10" t="n"/>
      <c r="J21" s="10" t="n"/>
      <c r="K21" s="10" t="inlineStr">
        <is>
          <t>24-1102-0015</t>
        </is>
      </c>
      <c r="L21" s="11" t="inlineStr">
        <is>
          <t>In Stock</t>
        </is>
      </c>
    </row>
    <row r="22" ht="16" customHeight="1">
      <c r="A22" s="19" t="inlineStr">
        <is>
          <t>Sevilla</t>
        </is>
      </c>
      <c r="B22" s="20" t="inlineStr">
        <is>
          <t>32" x 80"</t>
        </is>
      </c>
      <c r="C22" s="20" t="inlineStr">
        <is>
          <t>Brushed Nickel</t>
        </is>
      </c>
      <c r="D22" s="20" t="inlineStr">
        <is>
          <t>Right Inswing</t>
        </is>
      </c>
      <c r="E22" s="20" t="inlineStr">
        <is>
          <t>Rain</t>
        </is>
      </c>
      <c r="F22" s="10" t="n"/>
      <c r="G22" s="10" t="n"/>
      <c r="H22" s="10" t="n"/>
      <c r="I22" s="10" t="n"/>
      <c r="J22" s="10" t="n"/>
      <c r="K22" s="10" t="inlineStr">
        <is>
          <t>24-1102-0016</t>
        </is>
      </c>
      <c r="L22" s="11" t="inlineStr">
        <is>
          <t>In Stock</t>
        </is>
      </c>
    </row>
    <row r="23" ht="16" customHeight="1">
      <c r="A23" s="19" t="inlineStr">
        <is>
          <t>Sevilla</t>
        </is>
      </c>
      <c r="B23" s="20" t="inlineStr">
        <is>
          <t>32" x 80"</t>
        </is>
      </c>
      <c r="C23" s="20" t="inlineStr">
        <is>
          <t>Brushed Nickel</t>
        </is>
      </c>
      <c r="D23" s="20" t="inlineStr">
        <is>
          <t>Right Inswing</t>
        </is>
      </c>
      <c r="E23" s="20" t="inlineStr">
        <is>
          <t>Rain</t>
        </is>
      </c>
      <c r="F23" s="10" t="n"/>
      <c r="G23" s="10" t="n"/>
      <c r="H23" s="10" t="n"/>
      <c r="I23" s="10" t="n"/>
      <c r="J23" s="10" t="n"/>
      <c r="K23" s="10" t="inlineStr">
        <is>
          <t>24-1102-0017</t>
        </is>
      </c>
      <c r="L23" s="11" t="inlineStr">
        <is>
          <t>In Stock</t>
        </is>
      </c>
    </row>
    <row r="24" ht="16" customHeight="1">
      <c r="A24" s="19" t="inlineStr">
        <is>
          <t>Sevilla</t>
        </is>
      </c>
      <c r="B24" s="20" t="inlineStr">
        <is>
          <t>32" x 80"</t>
        </is>
      </c>
      <c r="C24" s="20" t="inlineStr">
        <is>
          <t>Brushed Nickel</t>
        </is>
      </c>
      <c r="D24" s="20" t="inlineStr">
        <is>
          <t>Right Inswing</t>
        </is>
      </c>
      <c r="E24" s="20" t="inlineStr">
        <is>
          <t>Rain</t>
        </is>
      </c>
      <c r="F24" s="10" t="n"/>
      <c r="G24" s="10" t="n"/>
      <c r="H24" s="10" t="n"/>
      <c r="I24" s="10" t="n"/>
      <c r="J24" s="10" t="n"/>
      <c r="K24" s="10" t="inlineStr">
        <is>
          <t>24-1102-0018</t>
        </is>
      </c>
      <c r="L24" s="11" t="inlineStr">
        <is>
          <t>In Stock</t>
        </is>
      </c>
    </row>
    <row r="25" ht="16" customHeight="1">
      <c r="A25" s="16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8" t="n"/>
    </row>
    <row r="26" ht="16" customHeight="1">
      <c r="A26" s="8" t="inlineStr">
        <is>
          <t>Sevilla</t>
        </is>
      </c>
      <c r="B26" s="9" t="inlineStr">
        <is>
          <t>36" x 80"</t>
        </is>
      </c>
      <c r="C26" s="9" t="inlineStr">
        <is>
          <t>Satin White</t>
        </is>
      </c>
      <c r="D26" s="9" t="inlineStr">
        <is>
          <t>Left Inswing</t>
        </is>
      </c>
      <c r="E26" s="9" t="inlineStr">
        <is>
          <t>None</t>
        </is>
      </c>
      <c r="F26" s="10">
        <f>COUNTIFS($A:$A,A26,$B:$B,B26,$C:$C,C26,$D:$D,D26,$E:$E,E26,$L:$L,"In Stock")</f>
        <v/>
      </c>
      <c r="G26" s="10">
        <f>COUNTIFS($A:$A,A26,$B:$B,B26,$C:$C,C26,$D:$D,D26,$E:$E,E26,$L:$L,"In Production")</f>
        <v/>
      </c>
      <c r="H26" s="10">
        <f>COUNTIFS($A:$A,A26,$B:$B,B26,$C:$C,C26,$D:$D,D26,$E:$E,E26,$L:$L,"Pre-Sale")</f>
        <v/>
      </c>
      <c r="I26" s="10" t="n">
        <v>8</v>
      </c>
      <c r="J26" s="10">
        <f>F26+G26+H26-I26</f>
        <v/>
      </c>
      <c r="K26" s="10" t="inlineStr">
        <is>
          <t>24-1102-0019</t>
        </is>
      </c>
      <c r="L26" s="11" t="inlineStr">
        <is>
          <t>In Stock</t>
        </is>
      </c>
    </row>
    <row r="27" ht="16" customHeight="1">
      <c r="A27" s="19" t="inlineStr">
        <is>
          <t>Sevilla</t>
        </is>
      </c>
      <c r="B27" s="20" t="inlineStr">
        <is>
          <t>36" x 80"</t>
        </is>
      </c>
      <c r="C27" s="20" t="inlineStr">
        <is>
          <t>Satin White</t>
        </is>
      </c>
      <c r="D27" s="20" t="inlineStr">
        <is>
          <t>Left Inswing</t>
        </is>
      </c>
      <c r="E27" s="20" t="inlineStr">
        <is>
          <t>None</t>
        </is>
      </c>
      <c r="F27" s="10" t="n"/>
      <c r="G27" s="10" t="n"/>
      <c r="H27" s="10" t="n"/>
      <c r="I27" s="10" t="n"/>
      <c r="J27" s="10" t="n"/>
      <c r="K27" s="10" t="inlineStr">
        <is>
          <t>24-1102-0020</t>
        </is>
      </c>
      <c r="L27" s="11" t="inlineStr">
        <is>
          <t>In Stock</t>
        </is>
      </c>
    </row>
    <row r="28" ht="16" customHeight="1">
      <c r="A28" s="21" t="inlineStr">
        <is>
          <t>Sevilla</t>
        </is>
      </c>
      <c r="B28" s="22" t="inlineStr">
        <is>
          <t>36" x 80"</t>
        </is>
      </c>
      <c r="C28" s="22" t="inlineStr">
        <is>
          <t>Satin White</t>
        </is>
      </c>
      <c r="D28" s="22" t="inlineStr">
        <is>
          <t>Left Inswing</t>
        </is>
      </c>
      <c r="E28" s="22" t="inlineStr">
        <is>
          <t>None</t>
        </is>
      </c>
      <c r="F28" s="14" t="n"/>
      <c r="G28" s="14" t="n"/>
      <c r="H28" s="14" t="n"/>
      <c r="I28" s="14" t="n"/>
      <c r="J28" s="14" t="n"/>
      <c r="K28" s="14" t="inlineStr">
        <is>
          <t>24-1102-0021</t>
        </is>
      </c>
      <c r="L28" s="15" t="inlineStr">
        <is>
          <t>In Stock</t>
        </is>
      </c>
    </row>
    <row r="29" ht="16" customHeight="1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</row>
    <row r="30" ht="16" customHeight="1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</row>
    <row r="31" ht="16" customHeight="1">
      <c r="A31" s="4" t="inlineStr">
        <is>
          <t>Cordova</t>
        </is>
      </c>
      <c r="B31" s="5" t="inlineStr">
        <is>
          <t>32" x 80"</t>
        </is>
      </c>
      <c r="C31" s="5" t="inlineStr">
        <is>
          <t>Matte Black</t>
        </is>
      </c>
      <c r="D31" s="5" t="inlineStr">
        <is>
          <t>Right Inswing</t>
        </is>
      </c>
      <c r="E31" s="5" t="inlineStr">
        <is>
          <t>Frosted</t>
        </is>
      </c>
      <c r="F31" s="6">
        <f>COUNTIFS($A:$A,A31,$B:$B,B31,$C:$C,C31,$D:$D,D31,$E:$E,E31,$L:$L,"In Stock")</f>
        <v/>
      </c>
      <c r="G31" s="6">
        <f>COUNTIFS($A:$A,A31,$B:$B,B31,$C:$C,C31,$D:$D,D31,$E:$E,E31,$L:$L,"In Production")</f>
        <v/>
      </c>
      <c r="H31" s="6">
        <f>COUNTIFS($A:$A,A31,$B:$B,B31,$C:$C,C31,$D:$D,D31,$E:$E,E31,$L:$L,"Pre-Sale")</f>
        <v/>
      </c>
      <c r="I31" s="6" t="n">
        <v>7</v>
      </c>
      <c r="J31" s="6">
        <f>F31+G31+H31-I31</f>
        <v/>
      </c>
      <c r="K31" s="6" t="inlineStr">
        <is>
          <t>25-0210-0001</t>
        </is>
      </c>
      <c r="L31" s="7" t="inlineStr">
        <is>
          <t>In Stock</t>
        </is>
      </c>
    </row>
    <row r="32" ht="16" customHeight="1">
      <c r="A32" s="19" t="inlineStr">
        <is>
          <t>Cordova</t>
        </is>
      </c>
      <c r="B32" s="20" t="inlineStr">
        <is>
          <t>32" x 80"</t>
        </is>
      </c>
      <c r="C32" s="20" t="inlineStr">
        <is>
          <t>Matte Black</t>
        </is>
      </c>
      <c r="D32" s="20" t="inlineStr">
        <is>
          <t>Right Inswing</t>
        </is>
      </c>
      <c r="E32" s="20" t="inlineStr">
        <is>
          <t>Frosted</t>
        </is>
      </c>
      <c r="F32" s="10" t="n"/>
      <c r="G32" s="10" t="n"/>
      <c r="H32" s="10" t="n"/>
      <c r="I32" s="10" t="n"/>
      <c r="J32" s="10" t="n"/>
      <c r="K32" s="10" t="inlineStr">
        <is>
          <t>25-0210-0002</t>
        </is>
      </c>
      <c r="L32" s="11" t="inlineStr">
        <is>
          <t>In Stock</t>
        </is>
      </c>
    </row>
    <row r="33" ht="16" customHeight="1">
      <c r="A33" s="19" t="inlineStr">
        <is>
          <t>Cordova</t>
        </is>
      </c>
      <c r="B33" s="20" t="inlineStr">
        <is>
          <t>32" x 80"</t>
        </is>
      </c>
      <c r="C33" s="20" t="inlineStr">
        <is>
          <t>Matte Black</t>
        </is>
      </c>
      <c r="D33" s="20" t="inlineStr">
        <is>
          <t>Right Inswing</t>
        </is>
      </c>
      <c r="E33" s="20" t="inlineStr">
        <is>
          <t>Frosted</t>
        </is>
      </c>
      <c r="F33" s="10" t="n"/>
      <c r="G33" s="10" t="n"/>
      <c r="H33" s="10" t="n"/>
      <c r="I33" s="10" t="n"/>
      <c r="J33" s="10" t="n"/>
      <c r="K33" s="10" t="inlineStr">
        <is>
          <t>25-0210-0003</t>
        </is>
      </c>
      <c r="L33" s="11" t="inlineStr">
        <is>
          <t>In Stock</t>
        </is>
      </c>
    </row>
    <row r="34" ht="16" customHeight="1">
      <c r="A34" s="19" t="inlineStr">
        <is>
          <t>Cordova</t>
        </is>
      </c>
      <c r="B34" s="20" t="inlineStr">
        <is>
          <t>32" x 80"</t>
        </is>
      </c>
      <c r="C34" s="20" t="inlineStr">
        <is>
          <t>Matte Black</t>
        </is>
      </c>
      <c r="D34" s="20" t="inlineStr">
        <is>
          <t>Right Inswing</t>
        </is>
      </c>
      <c r="E34" s="20" t="inlineStr">
        <is>
          <t>Frosted</t>
        </is>
      </c>
      <c r="F34" s="10" t="n"/>
      <c r="G34" s="10" t="n"/>
      <c r="H34" s="10" t="n"/>
      <c r="I34" s="10" t="n"/>
      <c r="J34" s="10" t="n"/>
      <c r="K34" s="10" t="inlineStr">
        <is>
          <t>25-0210-0004</t>
        </is>
      </c>
      <c r="L34" s="11" t="inlineStr">
        <is>
          <t>In Stock</t>
        </is>
      </c>
    </row>
    <row r="35" ht="16" customHeight="1">
      <c r="A35" s="19" t="inlineStr">
        <is>
          <t>Cordova</t>
        </is>
      </c>
      <c r="B35" s="20" t="inlineStr">
        <is>
          <t>32" x 80"</t>
        </is>
      </c>
      <c r="C35" s="20" t="inlineStr">
        <is>
          <t>Matte Black</t>
        </is>
      </c>
      <c r="D35" s="20" t="inlineStr">
        <is>
          <t>Right Inswing</t>
        </is>
      </c>
      <c r="E35" s="20" t="inlineStr">
        <is>
          <t>Frosted</t>
        </is>
      </c>
      <c r="F35" s="10" t="n"/>
      <c r="G35" s="10" t="n"/>
      <c r="H35" s="10" t="n"/>
      <c r="I35" s="10" t="n"/>
      <c r="J35" s="10" t="n"/>
      <c r="K35" s="10" t="inlineStr">
        <is>
          <t>25-0210-0005</t>
        </is>
      </c>
      <c r="L35" s="11" t="inlineStr">
        <is>
          <t>In Stock</t>
        </is>
      </c>
    </row>
    <row r="36" ht="16" customHeight="1">
      <c r="A36" s="19" t="inlineStr">
        <is>
          <t>Cordova</t>
        </is>
      </c>
      <c r="B36" s="20" t="inlineStr">
        <is>
          <t>32" x 80"</t>
        </is>
      </c>
      <c r="C36" s="20" t="inlineStr">
        <is>
          <t>Matte Black</t>
        </is>
      </c>
      <c r="D36" s="20" t="inlineStr">
        <is>
          <t>Right Inswing</t>
        </is>
      </c>
      <c r="E36" s="20" t="inlineStr">
        <is>
          <t>Frosted</t>
        </is>
      </c>
      <c r="F36" s="10" t="n"/>
      <c r="G36" s="10" t="n"/>
      <c r="H36" s="10" t="n"/>
      <c r="I36" s="10" t="n"/>
      <c r="J36" s="10" t="n"/>
      <c r="K36" s="10" t="inlineStr">
        <is>
          <t>25-0210-0006</t>
        </is>
      </c>
      <c r="L36" s="11" t="inlineStr">
        <is>
          <t>In Stock</t>
        </is>
      </c>
    </row>
    <row r="37" ht="16" customHeight="1">
      <c r="A37" s="16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8" t="n"/>
    </row>
    <row r="38" ht="16" customHeight="1">
      <c r="A38" s="8" t="inlineStr">
        <is>
          <t>Cordova</t>
        </is>
      </c>
      <c r="B38" s="9" t="inlineStr">
        <is>
          <t>36" x 80"</t>
        </is>
      </c>
      <c r="C38" s="9" t="inlineStr">
        <is>
          <t>Oil-Rubbed Bronze</t>
        </is>
      </c>
      <c r="D38" s="9" t="inlineStr">
        <is>
          <t>Left Inswing</t>
        </is>
      </c>
      <c r="E38" s="9" t="inlineStr">
        <is>
          <t>Clear</t>
        </is>
      </c>
      <c r="F38" s="10">
        <f>COUNTIFS($A:$A,A38,$B:$B,B38,$C:$C,C38,$D:$D,D38,$E:$E,E38,$L:$L,"In Stock")</f>
        <v/>
      </c>
      <c r="G38" s="10">
        <f>COUNTIFS($A:$A,A38,$B:$B,B38,$C:$C,C38,$D:$D,D38,$E:$E,E38,$L:$L,"In Production")</f>
        <v/>
      </c>
      <c r="H38" s="10">
        <f>COUNTIFS($A:$A,A38,$B:$B,B38,$C:$C,C38,$D:$D,D38,$E:$E,E38,$L:$L,"Pre-Sale")</f>
        <v/>
      </c>
      <c r="I38" s="10" t="n">
        <v>9</v>
      </c>
      <c r="J38" s="10">
        <f>F38+G38+H38-I38</f>
        <v/>
      </c>
      <c r="K38" s="10" t="inlineStr">
        <is>
          <t>25-0518-0007</t>
        </is>
      </c>
      <c r="L38" s="11" t="inlineStr">
        <is>
          <t>In Stock</t>
        </is>
      </c>
    </row>
    <row r="39" ht="16" customHeight="1">
      <c r="A39" s="19" t="inlineStr">
        <is>
          <t>Cordova</t>
        </is>
      </c>
      <c r="B39" s="20" t="inlineStr">
        <is>
          <t>36" x 80"</t>
        </is>
      </c>
      <c r="C39" s="20" t="inlineStr">
        <is>
          <t>Oil-Rubbed Bronze</t>
        </is>
      </c>
      <c r="D39" s="20" t="inlineStr">
        <is>
          <t>Left Inswing</t>
        </is>
      </c>
      <c r="E39" s="20" t="inlineStr">
        <is>
          <t>Clear</t>
        </is>
      </c>
      <c r="F39" s="10" t="n"/>
      <c r="G39" s="10" t="n"/>
      <c r="H39" s="10" t="n"/>
      <c r="I39" s="10" t="n"/>
      <c r="J39" s="10" t="n"/>
      <c r="K39" s="10" t="inlineStr">
        <is>
          <t>25-0518-0008</t>
        </is>
      </c>
      <c r="L39" s="11" t="inlineStr">
        <is>
          <t>In Stock</t>
        </is>
      </c>
    </row>
    <row r="40" ht="16" customHeight="1">
      <c r="A40" s="19" t="inlineStr">
        <is>
          <t>Cordova</t>
        </is>
      </c>
      <c r="B40" s="20" t="inlineStr">
        <is>
          <t>36" x 80"</t>
        </is>
      </c>
      <c r="C40" s="20" t="inlineStr">
        <is>
          <t>Oil-Rubbed Bronze</t>
        </is>
      </c>
      <c r="D40" s="20" t="inlineStr">
        <is>
          <t>Left Inswing</t>
        </is>
      </c>
      <c r="E40" s="20" t="inlineStr">
        <is>
          <t>Clear</t>
        </is>
      </c>
      <c r="F40" s="10" t="n"/>
      <c r="G40" s="10" t="n"/>
      <c r="H40" s="10" t="n"/>
      <c r="I40" s="10" t="n"/>
      <c r="J40" s="10" t="n"/>
      <c r="K40" s="10" t="inlineStr">
        <is>
          <t>25-0518-0009</t>
        </is>
      </c>
      <c r="L40" s="11" t="inlineStr">
        <is>
          <t>In Stock</t>
        </is>
      </c>
    </row>
    <row r="41" ht="16" customHeight="1">
      <c r="A41" s="16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8" t="n"/>
    </row>
    <row r="42" ht="16" customHeight="1">
      <c r="A42" s="12" t="inlineStr">
        <is>
          <t>Cordova</t>
        </is>
      </c>
      <c r="B42" s="13" t="inlineStr">
        <is>
          <t>36" x 96"</t>
        </is>
      </c>
      <c r="C42" s="13" t="inlineStr">
        <is>
          <t>Brushed Nickel</t>
        </is>
      </c>
      <c r="D42" s="13" t="inlineStr">
        <is>
          <t>Right Outswing</t>
        </is>
      </c>
      <c r="E42" s="13" t="inlineStr">
        <is>
          <t>Rain</t>
        </is>
      </c>
      <c r="F42" s="14">
        <f>COUNTIFS($A:$A,A42,$B:$B,B42,$C:$C,C42,$D:$D,D42,$E:$E,E42,$L:$L,"In Stock")</f>
        <v/>
      </c>
      <c r="G42" s="14">
        <f>COUNTIFS($A:$A,A42,$B:$B,B42,$C:$C,C42,$D:$D,D42,$E:$E,E42,$L:$L,"In Production")</f>
        <v/>
      </c>
      <c r="H42" s="14">
        <f>COUNTIFS($A:$A,A42,$B:$B,B42,$C:$C,C42,$D:$D,D42,$E:$E,E42,$L:$L,"Pre-Sale")</f>
        <v/>
      </c>
      <c r="I42" s="14" t="n">
        <v>7</v>
      </c>
      <c r="J42" s="14">
        <f>F42+G42+H42-I42</f>
        <v/>
      </c>
      <c r="K42" s="14" t="inlineStr">
        <is>
          <t>25-0518-0010</t>
        </is>
      </c>
      <c r="L42" s="15" t="inlineStr">
        <is>
          <t>In Stock</t>
        </is>
      </c>
    </row>
    <row r="43" ht="16" customHeight="1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</row>
    <row r="44" ht="16" customHeight="1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</row>
    <row r="45" ht="16" customHeight="1">
      <c r="A45" s="4" t="inlineStr">
        <is>
          <t>Granada</t>
        </is>
      </c>
      <c r="B45" s="5" t="inlineStr">
        <is>
          <t>36" x 80"</t>
        </is>
      </c>
      <c r="C45" s="5" t="inlineStr">
        <is>
          <t>Matte Black</t>
        </is>
      </c>
      <c r="D45" s="5" t="inlineStr">
        <is>
          <t>Right Inswing</t>
        </is>
      </c>
      <c r="E45" s="5" t="inlineStr">
        <is>
          <t>Clear</t>
        </is>
      </c>
      <c r="F45" s="6">
        <f>COUNTIFS($A:$A,A45,$B:$B,B45,$C:$C,C45,$D:$D,D45,$E:$E,E45,$L:$L,"In Stock")</f>
        <v/>
      </c>
      <c r="G45" s="6">
        <f>COUNTIFS($A:$A,A45,$B:$B,B45,$C:$C,C45,$D:$D,D45,$E:$E,E45,$L:$L,"In Production")</f>
        <v/>
      </c>
      <c r="H45" s="6">
        <f>COUNTIFS($A:$A,A45,$B:$B,B45,$C:$C,C45,$D:$D,D45,$E:$E,E45,$L:$L,"Pre-Sale")</f>
        <v/>
      </c>
      <c r="I45" s="6" t="n">
        <v>8</v>
      </c>
      <c r="J45" s="6">
        <f>F45+G45+H45-I45</f>
        <v/>
      </c>
      <c r="K45" s="6" t="inlineStr">
        <is>
          <t>25-0927-0011</t>
        </is>
      </c>
      <c r="L45" s="7" t="inlineStr">
        <is>
          <t>In Stock</t>
        </is>
      </c>
    </row>
    <row r="46" ht="16" customHeight="1">
      <c r="A46" s="19" t="inlineStr">
        <is>
          <t>Granada</t>
        </is>
      </c>
      <c r="B46" s="20" t="inlineStr">
        <is>
          <t>36" x 80"</t>
        </is>
      </c>
      <c r="C46" s="20" t="inlineStr">
        <is>
          <t>Matte Black</t>
        </is>
      </c>
      <c r="D46" s="20" t="inlineStr">
        <is>
          <t>Right Inswing</t>
        </is>
      </c>
      <c r="E46" s="20" t="inlineStr">
        <is>
          <t>Clear</t>
        </is>
      </c>
      <c r="F46" s="10" t="n"/>
      <c r="G46" s="10" t="n"/>
      <c r="H46" s="10" t="n"/>
      <c r="I46" s="10" t="n"/>
      <c r="J46" s="10" t="n"/>
      <c r="K46" s="10" t="inlineStr">
        <is>
          <t>25-0927-0012</t>
        </is>
      </c>
      <c r="L46" s="11" t="inlineStr">
        <is>
          <t>In Stock</t>
        </is>
      </c>
    </row>
    <row r="47" ht="16" customHeight="1">
      <c r="A47" s="19" t="inlineStr">
        <is>
          <t>Granada</t>
        </is>
      </c>
      <c r="B47" s="20" t="inlineStr">
        <is>
          <t>36" x 80"</t>
        </is>
      </c>
      <c r="C47" s="20" t="inlineStr">
        <is>
          <t>Matte Black</t>
        </is>
      </c>
      <c r="D47" s="20" t="inlineStr">
        <is>
          <t>Right Inswing</t>
        </is>
      </c>
      <c r="E47" s="20" t="inlineStr">
        <is>
          <t>Clear</t>
        </is>
      </c>
      <c r="F47" s="10" t="n"/>
      <c r="G47" s="10" t="n"/>
      <c r="H47" s="10" t="n"/>
      <c r="I47" s="10" t="n"/>
      <c r="J47" s="10" t="n"/>
      <c r="K47" s="10" t="inlineStr">
        <is>
          <t>25-0927-0013</t>
        </is>
      </c>
      <c r="L47" s="11" t="inlineStr">
        <is>
          <t>In Stock</t>
        </is>
      </c>
    </row>
    <row r="48" ht="16" customHeight="1">
      <c r="A48" s="19" t="inlineStr">
        <is>
          <t>Granada</t>
        </is>
      </c>
      <c r="B48" s="20" t="inlineStr">
        <is>
          <t>36" x 80"</t>
        </is>
      </c>
      <c r="C48" s="20" t="inlineStr">
        <is>
          <t>Matte Black</t>
        </is>
      </c>
      <c r="D48" s="20" t="inlineStr">
        <is>
          <t>Right Inswing</t>
        </is>
      </c>
      <c r="E48" s="20" t="inlineStr">
        <is>
          <t>Clear</t>
        </is>
      </c>
      <c r="F48" s="10" t="n"/>
      <c r="G48" s="10" t="n"/>
      <c r="H48" s="10" t="n"/>
      <c r="I48" s="10" t="n"/>
      <c r="J48" s="10" t="n"/>
      <c r="K48" s="10" t="inlineStr">
        <is>
          <t>25-0927-0014</t>
        </is>
      </c>
      <c r="L48" s="11" t="inlineStr">
        <is>
          <t>In Stock</t>
        </is>
      </c>
    </row>
    <row r="49" ht="16" customHeight="1">
      <c r="A49" s="19" t="inlineStr">
        <is>
          <t>Granada</t>
        </is>
      </c>
      <c r="B49" s="20" t="inlineStr">
        <is>
          <t>36" x 80"</t>
        </is>
      </c>
      <c r="C49" s="20" t="inlineStr">
        <is>
          <t>Matte Black</t>
        </is>
      </c>
      <c r="D49" s="20" t="inlineStr">
        <is>
          <t>Right Inswing</t>
        </is>
      </c>
      <c r="E49" s="20" t="inlineStr">
        <is>
          <t>Clear</t>
        </is>
      </c>
      <c r="F49" s="10" t="n"/>
      <c r="G49" s="10" t="n"/>
      <c r="H49" s="10" t="n"/>
      <c r="I49" s="10" t="n"/>
      <c r="J49" s="10" t="n"/>
      <c r="K49" s="10" t="inlineStr">
        <is>
          <t>25-0927-0015</t>
        </is>
      </c>
      <c r="L49" s="11" t="inlineStr">
        <is>
          <t>In Stock</t>
        </is>
      </c>
    </row>
    <row r="50" ht="16" customHeight="1">
      <c r="A50" s="19" t="inlineStr">
        <is>
          <t>Granada</t>
        </is>
      </c>
      <c r="B50" s="20" t="inlineStr">
        <is>
          <t>36" x 80"</t>
        </is>
      </c>
      <c r="C50" s="20" t="inlineStr">
        <is>
          <t>Matte Black</t>
        </is>
      </c>
      <c r="D50" s="20" t="inlineStr">
        <is>
          <t>Right Inswing</t>
        </is>
      </c>
      <c r="E50" s="20" t="inlineStr">
        <is>
          <t>Clear</t>
        </is>
      </c>
      <c r="F50" s="10" t="n"/>
      <c r="G50" s="10" t="n"/>
      <c r="H50" s="10" t="n"/>
      <c r="I50" s="10" t="n"/>
      <c r="J50" s="10" t="n"/>
      <c r="K50" s="10" t="inlineStr">
        <is>
          <t>25-0927-0016</t>
        </is>
      </c>
      <c r="L50" s="11" t="inlineStr">
        <is>
          <t>In Stock</t>
        </is>
      </c>
    </row>
    <row r="51" ht="16" customHeight="1">
      <c r="A51" s="19" t="inlineStr">
        <is>
          <t>Granada</t>
        </is>
      </c>
      <c r="B51" s="20" t="inlineStr">
        <is>
          <t>36" x 80"</t>
        </is>
      </c>
      <c r="C51" s="20" t="inlineStr">
        <is>
          <t>Matte Black</t>
        </is>
      </c>
      <c r="D51" s="20" t="inlineStr">
        <is>
          <t>Right Inswing</t>
        </is>
      </c>
      <c r="E51" s="20" t="inlineStr">
        <is>
          <t>Clear</t>
        </is>
      </c>
      <c r="F51" s="10" t="n"/>
      <c r="G51" s="10" t="n"/>
      <c r="H51" s="10" t="n"/>
      <c r="I51" s="10" t="n"/>
      <c r="J51" s="10" t="n"/>
      <c r="K51" s="10" t="inlineStr">
        <is>
          <t>25-0927-0017</t>
        </is>
      </c>
      <c r="L51" s="11" t="inlineStr">
        <is>
          <t>In Stock</t>
        </is>
      </c>
    </row>
    <row r="52" ht="16" customHeight="1">
      <c r="A52" s="19" t="inlineStr">
        <is>
          <t>Granada</t>
        </is>
      </c>
      <c r="B52" s="20" t="inlineStr">
        <is>
          <t>36" x 80"</t>
        </is>
      </c>
      <c r="C52" s="20" t="inlineStr">
        <is>
          <t>Matte Black</t>
        </is>
      </c>
      <c r="D52" s="20" t="inlineStr">
        <is>
          <t>Right Inswing</t>
        </is>
      </c>
      <c r="E52" s="20" t="inlineStr">
        <is>
          <t>Clear</t>
        </is>
      </c>
      <c r="F52" s="10" t="n"/>
      <c r="G52" s="10" t="n"/>
      <c r="H52" s="10" t="n"/>
      <c r="I52" s="10" t="n"/>
      <c r="J52" s="10" t="n"/>
      <c r="K52" s="10" t="inlineStr">
        <is>
          <t>25-0927-0018</t>
        </is>
      </c>
      <c r="L52" s="11" t="inlineStr">
        <is>
          <t>In Stock</t>
        </is>
      </c>
    </row>
    <row r="53" ht="16" customHeight="1">
      <c r="A53" s="16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8" t="n"/>
    </row>
    <row r="54" ht="16" customHeight="1">
      <c r="A54" s="8" t="inlineStr">
        <is>
          <t>Granada</t>
        </is>
      </c>
      <c r="B54" s="9" t="inlineStr">
        <is>
          <t>36" x 96"</t>
        </is>
      </c>
      <c r="C54" s="9" t="inlineStr">
        <is>
          <t>Satin White</t>
        </is>
      </c>
      <c r="D54" s="9" t="inlineStr">
        <is>
          <t>Left Inswing</t>
        </is>
      </c>
      <c r="E54" s="9" t="inlineStr">
        <is>
          <t>Sidelite</t>
        </is>
      </c>
      <c r="F54" s="10">
        <f>COUNTIFS($A:$A,A54,$B:$B,B54,$C:$C,C54,$D:$D,D54,$E:$E,E54,$L:$L,"In Stock")</f>
        <v/>
      </c>
      <c r="G54" s="10">
        <f>COUNTIFS($A:$A,A54,$B:$B,B54,$C:$C,C54,$D:$D,D54,$E:$E,E54,$L:$L,"In Production")</f>
        <v/>
      </c>
      <c r="H54" s="10">
        <f>COUNTIFS($A:$A,A54,$B:$B,B54,$C:$C,C54,$D:$D,D54,$E:$E,E54,$L:$L,"Pre-Sale")</f>
        <v/>
      </c>
      <c r="I54" s="10" t="n">
        <v>6</v>
      </c>
      <c r="J54" s="10">
        <f>F54+G54+H54-I54</f>
        <v/>
      </c>
      <c r="K54" s="10" t="inlineStr">
        <is>
          <t>25-0927-0019</t>
        </is>
      </c>
      <c r="L54" s="11" t="inlineStr">
        <is>
          <t>In Stock</t>
        </is>
      </c>
    </row>
    <row r="55" ht="16" customHeight="1">
      <c r="A55" s="21" t="inlineStr">
        <is>
          <t>Granada</t>
        </is>
      </c>
      <c r="B55" s="22" t="inlineStr">
        <is>
          <t>36" x 96"</t>
        </is>
      </c>
      <c r="C55" s="22" t="inlineStr">
        <is>
          <t>Satin White</t>
        </is>
      </c>
      <c r="D55" s="22" t="inlineStr">
        <is>
          <t>Left Inswing</t>
        </is>
      </c>
      <c r="E55" s="22" t="inlineStr">
        <is>
          <t>Sidelite</t>
        </is>
      </c>
      <c r="F55" s="14" t="n"/>
      <c r="G55" s="14" t="n"/>
      <c r="H55" s="14" t="n"/>
      <c r="I55" s="14" t="n"/>
      <c r="J55" s="14" t="n"/>
      <c r="K55" s="14" t="inlineStr">
        <is>
          <t>25-0927-0020</t>
        </is>
      </c>
      <c r="L55" s="15" t="inlineStr">
        <is>
          <t>In Stock</t>
        </is>
      </c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</row>
    <row r="58">
      <c r="A58" s="4" t="inlineStr">
        <is>
          <t>Malaga</t>
        </is>
      </c>
      <c r="B58" s="5" t="inlineStr">
        <is>
          <t>32" x 80"</t>
        </is>
      </c>
      <c r="C58" s="5" t="inlineStr">
        <is>
          <t>Brushed Nickel</t>
        </is>
      </c>
      <c r="D58" s="5" t="inlineStr">
        <is>
          <t>Left Inswing</t>
        </is>
      </c>
      <c r="E58" s="5" t="inlineStr">
        <is>
          <t>None</t>
        </is>
      </c>
      <c r="F58" s="6">
        <f>COUNTIFS($A:$A,A58,$B:$B,B58,$C:$C,C58,$D:$D,D58,$E:$E,E58,$L:$L,"In Stock")</f>
        <v/>
      </c>
      <c r="G58" s="6">
        <f>COUNTIFS($A:$A,A58,$B:$B,B58,$C:$C,C58,$D:$D,D58,$E:$E,E58,$L:$L,"In Production")</f>
        <v/>
      </c>
      <c r="H58" s="6">
        <f>COUNTIFS($A:$A,A58,$B:$B,B58,$C:$C,C58,$D:$D,D58,$E:$E,E58,$L:$L,"Pre-Sale")</f>
        <v/>
      </c>
      <c r="I58" s="6" t="n">
        <v>5</v>
      </c>
      <c r="J58" s="6">
        <f>F58+G58+H58-I58</f>
        <v/>
      </c>
      <c r="K58" s="6" t="inlineStr">
        <is>
          <t>25-1205-0021</t>
        </is>
      </c>
      <c r="L58" s="7" t="inlineStr">
        <is>
          <t>In Stock</t>
        </is>
      </c>
    </row>
    <row r="59">
      <c r="A59" s="19" t="inlineStr">
        <is>
          <t>Malaga</t>
        </is>
      </c>
      <c r="B59" s="20" t="inlineStr">
        <is>
          <t>32" x 80"</t>
        </is>
      </c>
      <c r="C59" s="20" t="inlineStr">
        <is>
          <t>Brushed Nickel</t>
        </is>
      </c>
      <c r="D59" s="20" t="inlineStr">
        <is>
          <t>Left Inswing</t>
        </is>
      </c>
      <c r="E59" s="20" t="inlineStr">
        <is>
          <t>None</t>
        </is>
      </c>
      <c r="F59" s="10" t="n"/>
      <c r="G59" s="10" t="n"/>
      <c r="H59" s="10" t="n"/>
      <c r="I59" s="10" t="n"/>
      <c r="J59" s="10" t="n"/>
      <c r="K59" s="10" t="inlineStr">
        <is>
          <t>25-1205-0022</t>
        </is>
      </c>
      <c r="L59" s="11" t="inlineStr">
        <is>
          <t>In Stock</t>
        </is>
      </c>
    </row>
    <row r="60">
      <c r="A60" s="19" t="inlineStr">
        <is>
          <t>Malaga</t>
        </is>
      </c>
      <c r="B60" s="20" t="inlineStr">
        <is>
          <t>32" x 80"</t>
        </is>
      </c>
      <c r="C60" s="20" t="inlineStr">
        <is>
          <t>Brushed Nickel</t>
        </is>
      </c>
      <c r="D60" s="20" t="inlineStr">
        <is>
          <t>Left Inswing</t>
        </is>
      </c>
      <c r="E60" s="20" t="inlineStr">
        <is>
          <t>None</t>
        </is>
      </c>
      <c r="F60" s="10" t="n"/>
      <c r="G60" s="10" t="n"/>
      <c r="H60" s="10" t="n"/>
      <c r="I60" s="10" t="n"/>
      <c r="J60" s="10" t="n"/>
      <c r="K60" s="10" t="inlineStr">
        <is>
          <t>25-1205-0023</t>
        </is>
      </c>
      <c r="L60" s="11" t="inlineStr">
        <is>
          <t>In Stock</t>
        </is>
      </c>
    </row>
    <row r="61">
      <c r="A61" s="21" t="inlineStr">
        <is>
          <t>Malaga</t>
        </is>
      </c>
      <c r="B61" s="22" t="inlineStr">
        <is>
          <t>32" x 80"</t>
        </is>
      </c>
      <c r="C61" s="22" t="inlineStr">
        <is>
          <t>Brushed Nickel</t>
        </is>
      </c>
      <c r="D61" s="22" t="inlineStr">
        <is>
          <t>Left Inswing</t>
        </is>
      </c>
      <c r="E61" s="22" t="inlineStr">
        <is>
          <t>None</t>
        </is>
      </c>
      <c r="F61" s="14" t="n"/>
      <c r="G61" s="14" t="n"/>
      <c r="H61" s="14" t="n"/>
      <c r="I61" s="14" t="n"/>
      <c r="J61" s="14" t="n"/>
      <c r="K61" s="14" t="inlineStr">
        <is>
          <t>25-1205-0024</t>
        </is>
      </c>
      <c r="L61" s="15" t="inlineStr">
        <is>
          <t>In Stock</t>
        </is>
      </c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</row>
    <row r="64">
      <c r="A64" s="4" t="inlineStr">
        <is>
          <t>Altea</t>
        </is>
      </c>
      <c r="B64" s="5" t="inlineStr">
        <is>
          <t>32" x 80"</t>
        </is>
      </c>
      <c r="C64" s="5" t="inlineStr">
        <is>
          <t>Satin White</t>
        </is>
      </c>
      <c r="D64" s="5" t="inlineStr">
        <is>
          <t>Right Inswing</t>
        </is>
      </c>
      <c r="E64" s="5" t="inlineStr">
        <is>
          <t>Clear</t>
        </is>
      </c>
      <c r="F64" s="6">
        <f>COUNTIFS($A:$A,A64,$B:$B,B64,$C:$C,C64,$D:$D,D64,$E:$E,E64,$L:$L,"In Stock")</f>
        <v/>
      </c>
      <c r="G64" s="6">
        <f>COUNTIFS($A:$A,A64,$B:$B,B64,$C:$C,C64,$D:$D,D64,$E:$E,E64,$L:$L,"In Production")</f>
        <v/>
      </c>
      <c r="H64" s="6">
        <f>COUNTIFS($A:$A,A64,$B:$B,B64,$C:$C,C64,$D:$D,D64,$E:$E,E64,$L:$L,"Pre-Sale")</f>
        <v/>
      </c>
      <c r="I64" s="6" t="n">
        <v>6</v>
      </c>
      <c r="J64" s="6">
        <f>F64+G64+H64-I64</f>
        <v/>
      </c>
      <c r="K64" s="6" t="inlineStr">
        <is>
          <t>26-0103-0001</t>
        </is>
      </c>
      <c r="L64" s="7" t="inlineStr">
        <is>
          <t>In Stock</t>
        </is>
      </c>
    </row>
    <row r="65">
      <c r="A65" s="19" t="inlineStr">
        <is>
          <t>Altea</t>
        </is>
      </c>
      <c r="B65" s="20" t="inlineStr">
        <is>
          <t>32" x 80"</t>
        </is>
      </c>
      <c r="C65" s="20" t="inlineStr">
        <is>
          <t>Satin White</t>
        </is>
      </c>
      <c r="D65" s="20" t="inlineStr">
        <is>
          <t>Right Inswing</t>
        </is>
      </c>
      <c r="E65" s="20" t="inlineStr">
        <is>
          <t>Clear</t>
        </is>
      </c>
      <c r="F65" s="10" t="n"/>
      <c r="G65" s="10" t="n"/>
      <c r="H65" s="10" t="n"/>
      <c r="I65" s="10" t="n"/>
      <c r="J65" s="10" t="n"/>
      <c r="K65" s="10" t="inlineStr">
        <is>
          <t>26-0103-0002</t>
        </is>
      </c>
      <c r="L65" s="11" t="inlineStr">
        <is>
          <t>In Stock</t>
        </is>
      </c>
    </row>
    <row r="66">
      <c r="A66" s="19" t="inlineStr">
        <is>
          <t>Altea</t>
        </is>
      </c>
      <c r="B66" s="20" t="inlineStr">
        <is>
          <t>32" x 80"</t>
        </is>
      </c>
      <c r="C66" s="20" t="inlineStr">
        <is>
          <t>Satin White</t>
        </is>
      </c>
      <c r="D66" s="20" t="inlineStr">
        <is>
          <t>Right Inswing</t>
        </is>
      </c>
      <c r="E66" s="20" t="inlineStr">
        <is>
          <t>Clear</t>
        </is>
      </c>
      <c r="F66" s="10" t="n"/>
      <c r="G66" s="10" t="n"/>
      <c r="H66" s="10" t="n"/>
      <c r="I66" s="10" t="n"/>
      <c r="J66" s="10" t="n"/>
      <c r="K66" s="10" t="inlineStr">
        <is>
          <t>26-0103-0003</t>
        </is>
      </c>
      <c r="L66" s="11" t="inlineStr">
        <is>
          <t>In Stock</t>
        </is>
      </c>
    </row>
    <row r="67">
      <c r="A67" s="19" t="inlineStr">
        <is>
          <t>Altea</t>
        </is>
      </c>
      <c r="B67" s="20" t="inlineStr">
        <is>
          <t>32" x 80"</t>
        </is>
      </c>
      <c r="C67" s="20" t="inlineStr">
        <is>
          <t>Satin White</t>
        </is>
      </c>
      <c r="D67" s="20" t="inlineStr">
        <is>
          <t>Right Inswing</t>
        </is>
      </c>
      <c r="E67" s="20" t="inlineStr">
        <is>
          <t>Clear</t>
        </is>
      </c>
      <c r="F67" s="10" t="n"/>
      <c r="G67" s="10" t="n"/>
      <c r="H67" s="10" t="n"/>
      <c r="I67" s="10" t="n"/>
      <c r="J67" s="10" t="n"/>
      <c r="K67" s="10" t="inlineStr">
        <is>
          <t>26-0103-0004</t>
        </is>
      </c>
      <c r="L67" s="11" t="inlineStr">
        <is>
          <t>In Stock</t>
        </is>
      </c>
    </row>
    <row r="68">
      <c r="A68" s="19" t="inlineStr">
        <is>
          <t>Altea</t>
        </is>
      </c>
      <c r="B68" s="20" t="inlineStr">
        <is>
          <t>32" x 80"</t>
        </is>
      </c>
      <c r="C68" s="20" t="inlineStr">
        <is>
          <t>Satin White</t>
        </is>
      </c>
      <c r="D68" s="20" t="inlineStr">
        <is>
          <t>Right Inswing</t>
        </is>
      </c>
      <c r="E68" s="20" t="inlineStr">
        <is>
          <t>Clear</t>
        </is>
      </c>
      <c r="F68" s="10" t="n"/>
      <c r="G68" s="10" t="n"/>
      <c r="H68" s="10" t="n"/>
      <c r="I68" s="10" t="n"/>
      <c r="J68" s="10" t="n"/>
      <c r="K68" s="10" t="inlineStr">
        <is>
          <t>26-0103-0005</t>
        </is>
      </c>
      <c r="L68" s="11" t="inlineStr">
        <is>
          <t>In Stock</t>
        </is>
      </c>
    </row>
    <row r="69">
      <c r="A69" s="16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8" t="n"/>
    </row>
    <row r="70">
      <c r="A70" s="8" t="inlineStr">
        <is>
          <t>Altea</t>
        </is>
      </c>
      <c r="B70" s="9" t="inlineStr">
        <is>
          <t>36" x 80"</t>
        </is>
      </c>
      <c r="C70" s="9" t="inlineStr">
        <is>
          <t>Matte Black</t>
        </is>
      </c>
      <c r="D70" s="9" t="inlineStr">
        <is>
          <t>Left Inswing</t>
        </is>
      </c>
      <c r="E70" s="9" t="inlineStr">
        <is>
          <t>Rain</t>
        </is>
      </c>
      <c r="F70" s="10">
        <f>COUNTIFS($A:$A,A70,$B:$B,B70,$C:$C,C70,$D:$D,D70,$E:$E,E70,$L:$L,"In Stock")</f>
        <v/>
      </c>
      <c r="G70" s="10">
        <f>COUNTIFS($A:$A,A70,$B:$B,B70,$C:$C,C70,$D:$D,D70,$E:$E,E70,$L:$L,"In Production")</f>
        <v/>
      </c>
      <c r="H70" s="10">
        <f>COUNTIFS($A:$A,A70,$B:$B,B70,$C:$C,C70,$D:$D,D70,$E:$E,E70,$L:$L,"Pre-Sale")</f>
        <v/>
      </c>
      <c r="I70" s="10" t="n">
        <v>7</v>
      </c>
      <c r="J70" s="10">
        <f>F70+G70+H70-I70</f>
        <v/>
      </c>
      <c r="K70" s="10" t="inlineStr">
        <is>
          <t>26-0103-0006</t>
        </is>
      </c>
      <c r="L70" s="11" t="inlineStr">
        <is>
          <t>In Stock</t>
        </is>
      </c>
    </row>
    <row r="71">
      <c r="A71" s="19" t="inlineStr">
        <is>
          <t>Altea</t>
        </is>
      </c>
      <c r="B71" s="20" t="inlineStr">
        <is>
          <t>36" x 80"</t>
        </is>
      </c>
      <c r="C71" s="20" t="inlineStr">
        <is>
          <t>Matte Black</t>
        </is>
      </c>
      <c r="D71" s="20" t="inlineStr">
        <is>
          <t>Left Inswing</t>
        </is>
      </c>
      <c r="E71" s="20" t="inlineStr">
        <is>
          <t>Rain</t>
        </is>
      </c>
      <c r="F71" s="10" t="n"/>
      <c r="G71" s="10" t="n"/>
      <c r="H71" s="10" t="n"/>
      <c r="I71" s="10" t="n"/>
      <c r="J71" s="10" t="n"/>
      <c r="K71" s="10" t="inlineStr">
        <is>
          <t>26-0103-0007</t>
        </is>
      </c>
      <c r="L71" s="11" t="inlineStr">
        <is>
          <t>In Stock</t>
        </is>
      </c>
    </row>
    <row r="72">
      <c r="A72" s="19" t="inlineStr">
        <is>
          <t>Altea</t>
        </is>
      </c>
      <c r="B72" s="20" t="inlineStr">
        <is>
          <t>36" x 80"</t>
        </is>
      </c>
      <c r="C72" s="20" t="inlineStr">
        <is>
          <t>Matte Black</t>
        </is>
      </c>
      <c r="D72" s="20" t="inlineStr">
        <is>
          <t>Left Inswing</t>
        </is>
      </c>
      <c r="E72" s="20" t="inlineStr">
        <is>
          <t>Rain</t>
        </is>
      </c>
      <c r="F72" s="10" t="n"/>
      <c r="G72" s="10" t="n"/>
      <c r="H72" s="10" t="n"/>
      <c r="I72" s="10" t="n"/>
      <c r="J72" s="10" t="n"/>
      <c r="K72" s="10" t="inlineStr">
        <is>
          <t>26-0103-0008</t>
        </is>
      </c>
      <c r="L72" s="11" t="inlineStr">
        <is>
          <t>In Stock</t>
        </is>
      </c>
    </row>
    <row r="73">
      <c r="A73" s="16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8" t="n"/>
    </row>
    <row r="74">
      <c r="A74" s="12" t="inlineStr">
        <is>
          <t>Altea</t>
        </is>
      </c>
      <c r="B74" s="13" t="inlineStr">
        <is>
          <t>36" x 96"</t>
        </is>
      </c>
      <c r="C74" s="13" t="inlineStr">
        <is>
          <t>Oil-Rubbed Bronze</t>
        </is>
      </c>
      <c r="D74" s="13" t="inlineStr">
        <is>
          <t>Right Outswing</t>
        </is>
      </c>
      <c r="E74" s="13" t="inlineStr">
        <is>
          <t>Sidelite</t>
        </is>
      </c>
      <c r="F74" s="14">
        <f>COUNTIFS($A:$A,A74,$B:$B,B74,$C:$C,C74,$D:$D,D74,$E:$E,E74,$L:$L,"In Stock")</f>
        <v/>
      </c>
      <c r="G74" s="14">
        <f>COUNTIFS($A:$A,A74,$B:$B,B74,$C:$C,C74,$D:$D,D74,$E:$E,E74,$L:$L,"In Production")</f>
        <v/>
      </c>
      <c r="H74" s="14">
        <f>COUNTIFS($A:$A,A74,$B:$B,B74,$C:$C,C74,$D:$D,D74,$E:$E,E74,$L:$L,"Pre-Sale")</f>
        <v/>
      </c>
      <c r="I74" s="14" t="n">
        <v>8</v>
      </c>
      <c r="J74" s="14">
        <f>F74+G74+H74-I74</f>
        <v/>
      </c>
      <c r="K74" s="14" t="inlineStr">
        <is>
          <t>26-0415-0009</t>
        </is>
      </c>
      <c r="L74" s="15" t="inlineStr">
        <is>
          <t>In Stock</t>
        </is>
      </c>
    </row>
  </sheetData>
  <conditionalFormatting sqref="J3:J74">
    <cfRule type="cellIs" priority="1" operator="lessThan" dxfId="4">
      <formula>0</formula>
    </cfRule>
  </conditionalFormatting>
  <conditionalFormatting sqref="L3:L74">
    <cfRule type="cellIs" priority="2" operator="equal" dxfId="5">
      <formula>"In Stock"</formula>
    </cfRule>
    <cfRule type="cellIs" priority="3" operator="equal" dxfId="6">
      <formula>"Pre-Sale"</formula>
    </cfRule>
    <cfRule type="cellIs" priority="4" operator="equal" dxfId="7">
      <formula>"In Production"</formula>
    </cfRule>
    <cfRule type="expression" priority="5" dxfId="8">
      <formula>=LEFT($L3,9)="Allocated"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2026-06-17T20:50:51Z</dcterms:created>
  <dcterms:modified xsi:type="dcterms:W3CDTF">2026-06-17T21:54:25Z</dcterms:modified>
</cp:coreProperties>
</file>